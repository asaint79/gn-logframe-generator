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Z:\03. Field Country\20. Program Operation\PPF 개정\"/>
    </mc:Choice>
  </mc:AlternateContent>
  <xr:revisionPtr revIDLastSave="0" documentId="13_ncr:1_{0558319A-EAAF-4956-B351-6E70A4F45006}" xr6:coauthVersionLast="47" xr6:coauthVersionMax="47" xr10:uidLastSave="{00000000-0000-0000-0000-000000000000}"/>
  <bookViews>
    <workbookView xWindow="28680" yWindow="-120" windowWidth="29040" windowHeight="15720" tabRatio="500" firstSheet="6" activeTab="6" xr2:uid="{00000000-000D-0000-FFFF-FFFF00000000}"/>
  </bookViews>
  <sheets>
    <sheet name="Cover" sheetId="1" r:id="rId1"/>
    <sheet name="1. Project Overview" sheetId="2" r:id="rId2"/>
    <sheet name="2. Community Assessment Result" sheetId="3" r:id="rId3"/>
    <sheet name="3. Sector_Child Protection" sheetId="4" r:id="rId4"/>
    <sheet name="3. Sector_Education" sheetId="5" r:id="rId5"/>
    <sheet name="3. Sector_Health &amp; Well-being" sheetId="6" r:id="rId6"/>
    <sheet name="3. Sector_Economic Empowerment" sheetId="7" r:id="rId7"/>
    <sheet name="3. Sector_Others" sheetId="8" r:id="rId8"/>
    <sheet name="4. Child Sponsorship Management" sheetId="9" state="hidden" r:id="rId9"/>
    <sheet name="5. Project Management Plan" sheetId="10" r:id="rId10"/>
    <sheet name="(Annex) Indicator Tracking Tool" sheetId="11" r:id="rId11"/>
    <sheet name="indicators" sheetId="12" state="hidden" r:id="rId12"/>
    <sheet name="Sheet1" sheetId="13" state="hidden" r:id="rId13"/>
    <sheet name="Annex. CDP Evaluation Report" sheetId="14" state="hidden" r:id="rId14"/>
  </sheets>
  <definedNames>
    <definedName name="Advocacy">Sheet1!$F$2:$F$4</definedName>
    <definedName name="all_outcome_indicator">indicators!$O$2:$O$27</definedName>
    <definedName name="all_output_indicator">indicators!$P$2:$P$100</definedName>
    <definedName name="Child_Protection_Activity">'3. Sector_Child Protection'!$D$56:$D$85</definedName>
    <definedName name="Child_Protection_Output">'3. Sector_Child Protection'!$D$38:$D$52</definedName>
    <definedName name="Child_Sponsorship">Sheet1!$A$2:$A$4</definedName>
    <definedName name="climate_outcome_indicator">indicators!$I$2:$I$3</definedName>
    <definedName name="climate_output_indicator">indicators!$J$2:$J$10</definedName>
    <definedName name="community_output_indicator">indicators!$Q$2:$Q$13</definedName>
    <definedName name="Core_Alliance">Sheet1!$A$21:$A$28</definedName>
    <definedName name="Design_Type">Sheet1!$C$21:$C$23</definedName>
    <definedName name="Economic_Empowerment_Activity">'3. Sector_Economic Empowerment'!$D$57:$D$86</definedName>
    <definedName name="Economic_Empowerment_Output">'3. Sector_Economic Empowerment'!$D$39:$D$53</definedName>
    <definedName name="economy_outcome_indicator">indicators!$G$2:$G$7</definedName>
    <definedName name="economy_output_indicator">indicators!$H$2:$H$20</definedName>
    <definedName name="Education">Sheet1!$B$2:$B$7</definedName>
    <definedName name="Education_Activity">'3. Sector_Education'!$D$59:$D$88</definedName>
    <definedName name="education_outcome_indicator">indicators!$C$2:$C$8</definedName>
    <definedName name="Education_Output">'3. Sector_Education'!$D$41:$D$55</definedName>
    <definedName name="education_output_indicator">indicators!$D$2:$D$26</definedName>
    <definedName name="Environment">Sheet1!$G$2:$G$6</definedName>
    <definedName name="Health_Avtivity">'3. Sector_Health &amp; Well-being'!$D$57:$D$86</definedName>
    <definedName name="health_outcome_indicator">indicators!$E$2:$E$4</definedName>
    <definedName name="health_output_indicator">indicators!$F$2:$F$39</definedName>
    <definedName name="Health_WellBeing" localSheetId="5">Table12[_03000_Health]</definedName>
    <definedName name="Health_WellBeing_Activity">'3. Sector_Health &amp; Well-being'!$D$57:$D$86</definedName>
    <definedName name="Health_WellBeing_Output" localSheetId="5">'3. Sector_Health &amp; Well-being'!$D$39:$D$53</definedName>
    <definedName name="Humanitarian_Assistance">Sheet1!$H$2:$H$8</definedName>
    <definedName name="humanitarian_outcome_indicator">indicators!$K$2:$K$2</definedName>
    <definedName name="humanitarian_output_indicator">indicators!$L$2:$L$14</definedName>
    <definedName name="Income_Generation">Sheet1!$D$2:$D$6</definedName>
    <definedName name="ITT_ChildProtection_OC_A">'3. Sector_Child Protection'!$A$32:$A$36</definedName>
    <definedName name="ITT_ChildProtection_OC_B">'3. Sector_Child Protection'!$B$32:$B$36</definedName>
    <definedName name="ITT_ChildProtection_OC_E">'3. Sector_Child Protection'!$E$32:$E$36</definedName>
    <definedName name="ITT_ChildProtection_OC_G">'3. Sector_Child Protection'!$G$32:$G$36</definedName>
    <definedName name="ITT_ChildProtection_OC_J">'3. Sector_Child Protection'!$J$32:$J$36</definedName>
    <definedName name="ITT_ChildProtection_OC_K">'3. Sector_Child Protection'!$K$32:$K$36</definedName>
    <definedName name="ITT_ChildProtection_OP_A">'3. Sector_Child Protection'!$A$38:$A$52</definedName>
    <definedName name="ITT_ChildProtection_OP_B">'3. Sector_Child Protection'!$B$38:$B$52</definedName>
    <definedName name="ITT_ChildProtection_OP_E">'3. Sector_Child Protection'!$E$38:$E$52</definedName>
    <definedName name="ITT_ChildProtection_OP_G">'3. Sector_Child Protection'!$G$38:$G$52</definedName>
    <definedName name="ITT_ChildProtection_OP_J">'3. Sector_Child Protection'!$J$38:$J$52</definedName>
    <definedName name="ITT_ChildProtection_OP_K">'3. Sector_Child Protection'!$K$38:$K$52</definedName>
    <definedName name="ITT_EconomicEmpowerment_OC_A">'3. Sector_Economic Empowerment'!$A$33:$A$37</definedName>
    <definedName name="ITT_EconomicEmpowerment_OC_B">'3. Sector_Economic Empowerment'!$B$33:$B$37</definedName>
    <definedName name="ITT_EconomicEmpowerment_OC_E">'3. Sector_Economic Empowerment'!$E$33:$E$37</definedName>
    <definedName name="ITT_EconomicEmpowerment_OC_G">'3. Sector_Economic Empowerment'!$G$33:$G$37</definedName>
    <definedName name="ITT_EconomicEmpowerment_OC_J">'3. Sector_Economic Empowerment'!$J$33:$J$37</definedName>
    <definedName name="ITT_EconomicEmpowerment_OC_K">'3. Sector_Economic Empowerment'!$K$33:$K$37</definedName>
    <definedName name="ITT_EconomicEmpowerment_OP_A">'3. Sector_Economic Empowerment'!$A$39:$A$53</definedName>
    <definedName name="ITT_EconomicEmpowerment_OP_B">'3. Sector_Economic Empowerment'!$B$39:$B$53</definedName>
    <definedName name="ITT_EconomicEmpowerment_OP_E">'3. Sector_Economic Empowerment'!$E$39:$E$53</definedName>
    <definedName name="ITT_EconomicEmpowerment_OP_G">'3. Sector_Economic Empowerment'!$G$39:$G$53</definedName>
    <definedName name="ITT_EconomicEmpowerment_OP_J">'3. Sector_Economic Empowerment'!$J$39:$J$53</definedName>
    <definedName name="ITT_EconomicEmpowerment_OP_K">'3. Sector_Economic Empowerment'!$K$39:$K$53</definedName>
    <definedName name="ITT_Education_OC_A">'3. Sector_Education'!$A$35:$A$39</definedName>
    <definedName name="ITT_Education_OC_B">'3. Sector_Education'!$B$35:$B$39</definedName>
    <definedName name="ITT_Education_OC_E">'3. Sector_Education'!$E$35:$E$39</definedName>
    <definedName name="ITT_Education_OC_G">'3. Sector_Education'!$G$35:$G$39</definedName>
    <definedName name="ITT_Education_OC_J">'3. Sector_Education'!$J$35:$J$39</definedName>
    <definedName name="ITT_Education_OC_K">'3. Sector_Education'!$K$35:$K$39</definedName>
    <definedName name="ITT_Education_OP_A">'3. Sector_Education'!$A$41:$A$55</definedName>
    <definedName name="ITT_Education_OP_B">'3. Sector_Education'!$B$41:$B$55</definedName>
    <definedName name="ITT_Education_OP_E">'3. Sector_Education'!$E$41:$E$55</definedName>
    <definedName name="ITT_Education_OP_G">'3. Sector_Education'!$G$41:$G$55</definedName>
    <definedName name="ITT_Education_OP_J">'3. Sector_Education'!$J$41:$J$55</definedName>
    <definedName name="ITT_Education_OP_K">'3. Sector_Education'!$K$41:$K$55</definedName>
    <definedName name="ITT_HealthWellbeing_OC_A">'3. Sector_Health &amp; Well-being'!$A$33:$A$37</definedName>
    <definedName name="ITT_HealthWellbeing_OC_B">'3. Sector_Health &amp; Well-being'!$B$33:$B$37</definedName>
    <definedName name="ITT_HealthWellbeing_OC_E">'3. Sector_Health &amp; Well-being'!$E$33:$E$37</definedName>
    <definedName name="ITT_HealthWellbeing_OC_G">'3. Sector_Health &amp; Well-being'!$G$33:$G$37</definedName>
    <definedName name="ITT_HealthWellbeing_OC_J">'3. Sector_Health &amp; Well-being'!$J$33:$J$37</definedName>
    <definedName name="ITT_HealthWellbeing_OC_K">'3. Sector_Health &amp; Well-being'!$K$33:$K$37</definedName>
    <definedName name="ITT_HealthWellbeing_OP_A">'3. Sector_Health &amp; Well-being'!$A$39:$A$53</definedName>
    <definedName name="ITT_HealthWellbeing_OP_B">'3. Sector_Health &amp; Well-being'!$B$39:$B$53</definedName>
    <definedName name="ITT_HealthWellbeing_OP_E">'3. Sector_Health &amp; Well-being'!$E$39:$E$53</definedName>
    <definedName name="ITT_HealthWellbeing_OP_G">'3. Sector_Health &amp; Well-being'!$G$39:$G$53</definedName>
    <definedName name="ITT_HealthWellbeing_OP_J">'3. Sector_Health &amp; Well-being'!$J$39:$J$53</definedName>
    <definedName name="ITT_HealthWellbeing_OP_K">'3. Sector_Health &amp; Well-being'!$K$39:$K$53</definedName>
    <definedName name="ITT_Others_OC_A">'3. Sector_Others'!$A$32:$A$36</definedName>
    <definedName name="ITT_Others_OC_B">'3. Sector_Others'!$B$32:$B$36</definedName>
    <definedName name="ITT_Others_OC_E">'3. Sector_Others'!$E$32:$E$36</definedName>
    <definedName name="ITT_Others_OC_G">'3. Sector_Others'!$G$32:$G$36</definedName>
    <definedName name="ITT_Others_OC_J">'3. Sector_Others'!$J$32:$J$36</definedName>
    <definedName name="ITT_Others_OC_K">'3. Sector_Others'!$K$32:$K$36</definedName>
    <definedName name="ITT_Others_OP_A">'3. Sector_Others'!$A$38:$A$52</definedName>
    <definedName name="ITT_Others_OP_B">'3. Sector_Others'!$B$38:$B$52</definedName>
    <definedName name="ITT_Others_OP_E">'3. Sector_Others'!$E$38:$E$52</definedName>
    <definedName name="ITT_Others_OP_G">'3. Sector_Others'!$G$38:$G$52</definedName>
    <definedName name="ITT_Others_OP_J">'3. Sector_Others'!$J$38:$J$52</definedName>
    <definedName name="ITT_Others_OP_K">'3. Sector_Others'!$K$38:$K$52</definedName>
    <definedName name="Management">Sheet1!$I$2:$I$9</definedName>
    <definedName name="Others">Sheet1!$G$2:$G$12</definedName>
    <definedName name="Others_Activity">'3. Sector_Others'!$D$56:$D$85</definedName>
    <definedName name="Others_Output" localSheetId="7">'3. Sector_Others'!$D$38:$D$52</definedName>
    <definedName name="Partnership">Sheet1!$E$2:$E$7</definedName>
    <definedName name="_xlnm.Print_Area" localSheetId="10">'(Annex) Indicator Tracking Tool'!$A$1:$AL$104</definedName>
    <definedName name="_xlnm.Print_Area" localSheetId="1">'1. Project Overview'!$A$1:$F$15</definedName>
    <definedName name="_xlnm.Print_Area" localSheetId="2">'2. Community Assessment Result'!$A$1:$H$20</definedName>
    <definedName name="_xlnm.Print_Area" localSheetId="3">'3. Sector_Child Protection'!$A$1:$P$110</definedName>
    <definedName name="_xlnm.Print_Area" localSheetId="6">'3. Sector_Economic Empowerment'!$A$1:$P$111</definedName>
    <definedName name="_xlnm.Print_Area" localSheetId="4">'3. Sector_Education'!$A$1:$P$113</definedName>
    <definedName name="_xlnm.Print_Area" localSheetId="5">'3. Sector_Health &amp; Well-being'!$A$1:$P$111</definedName>
    <definedName name="_xlnm.Print_Area" localSheetId="7">'3. Sector_Others'!$A$1:$P$110</definedName>
    <definedName name="_xlnm.Print_Area" localSheetId="13">'Annex. CDP Evaluation Report'!$A$1:$H$37</definedName>
    <definedName name="_xlnm.Print_Area" localSheetId="0">Cover!$A$1:$K$45</definedName>
    <definedName name="Project_Type">Sheet1!$B$21:$B$23</definedName>
    <definedName name="protection_outcome_indicator">indicators!$A$2:$A$2</definedName>
    <definedName name="protection_output_indicator">indicators!$B$2:$B$24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7" i="14" l="1"/>
  <c r="G36" i="14"/>
  <c r="G35" i="14"/>
  <c r="G33" i="14"/>
  <c r="G30" i="14"/>
  <c r="G29" i="14"/>
  <c r="G28" i="14"/>
  <c r="G26" i="14"/>
  <c r="G23" i="14"/>
  <c r="G22" i="14"/>
  <c r="G21" i="14"/>
  <c r="G19" i="14"/>
  <c r="G16" i="14"/>
  <c r="G15" i="14"/>
  <c r="G14" i="14"/>
  <c r="G12" i="14"/>
  <c r="H104" i="11"/>
  <c r="G104" i="11"/>
  <c r="AK104" i="11" s="1"/>
  <c r="F104" i="11"/>
  <c r="E104" i="11"/>
  <c r="D104" i="11"/>
  <c r="C104" i="11"/>
  <c r="H103" i="11"/>
  <c r="G103" i="11"/>
  <c r="AK103" i="11" s="1"/>
  <c r="F103" i="11"/>
  <c r="E103" i="11"/>
  <c r="D103" i="11"/>
  <c r="C103" i="11"/>
  <c r="H102" i="11"/>
  <c r="AK102" i="11" s="1"/>
  <c r="G102" i="11"/>
  <c r="AE102" i="11" s="1"/>
  <c r="F102" i="11"/>
  <c r="E102" i="11"/>
  <c r="D102" i="11"/>
  <c r="C102" i="11"/>
  <c r="H101" i="11"/>
  <c r="G101" i="11"/>
  <c r="AK101" i="11" s="1"/>
  <c r="F101" i="11"/>
  <c r="E101" i="11"/>
  <c r="D101" i="11"/>
  <c r="C101" i="11"/>
  <c r="AE100" i="11"/>
  <c r="H100" i="11"/>
  <c r="G100" i="11"/>
  <c r="AK100" i="11" s="1"/>
  <c r="F100" i="11"/>
  <c r="E100" i="11"/>
  <c r="D100" i="11"/>
  <c r="C100" i="11"/>
  <c r="AK99" i="11"/>
  <c r="AE99" i="11"/>
  <c r="Y99" i="11"/>
  <c r="S99" i="11"/>
  <c r="H99" i="11"/>
  <c r="G99" i="11"/>
  <c r="M99" i="11" s="1"/>
  <c r="F99" i="11"/>
  <c r="E99" i="11"/>
  <c r="D99" i="11"/>
  <c r="C99" i="11"/>
  <c r="AE98" i="11"/>
  <c r="Y98" i="11"/>
  <c r="S98" i="11"/>
  <c r="M98" i="11"/>
  <c r="H98" i="11"/>
  <c r="AK98" i="11" s="1"/>
  <c r="G98" i="11"/>
  <c r="F98" i="11"/>
  <c r="E98" i="11"/>
  <c r="D98" i="11"/>
  <c r="C98" i="11"/>
  <c r="S97" i="11"/>
  <c r="H97" i="11"/>
  <c r="M97" i="11" s="1"/>
  <c r="G97" i="11"/>
  <c r="AK97" i="11" s="1"/>
  <c r="F97" i="11"/>
  <c r="E97" i="11"/>
  <c r="D97" i="11"/>
  <c r="C97" i="11"/>
  <c r="M96" i="11"/>
  <c r="H96" i="11"/>
  <c r="G96" i="11"/>
  <c r="AK96" i="11" s="1"/>
  <c r="F96" i="11"/>
  <c r="E96" i="11"/>
  <c r="D96" i="11"/>
  <c r="C96" i="11"/>
  <c r="H95" i="11"/>
  <c r="G95" i="11"/>
  <c r="AK95" i="11" s="1"/>
  <c r="F95" i="11"/>
  <c r="E95" i="11"/>
  <c r="D95" i="11"/>
  <c r="C95" i="11"/>
  <c r="H94" i="11"/>
  <c r="G94" i="11"/>
  <c r="AK94" i="11" s="1"/>
  <c r="F94" i="11"/>
  <c r="E94" i="11"/>
  <c r="D94" i="11"/>
  <c r="C94" i="11"/>
  <c r="H93" i="11"/>
  <c r="G93" i="11"/>
  <c r="AK93" i="11" s="1"/>
  <c r="F93" i="11"/>
  <c r="E93" i="11"/>
  <c r="D93" i="11"/>
  <c r="C93" i="11"/>
  <c r="Y92" i="11"/>
  <c r="S92" i="11"/>
  <c r="H92" i="11"/>
  <c r="G92" i="11"/>
  <c r="AK92" i="11" s="1"/>
  <c r="F92" i="11"/>
  <c r="E92" i="11"/>
  <c r="D92" i="11"/>
  <c r="C92" i="11"/>
  <c r="AK91" i="11"/>
  <c r="S91" i="11"/>
  <c r="M91" i="11"/>
  <c r="H91" i="11"/>
  <c r="G91" i="11"/>
  <c r="AE91" i="11" s="1"/>
  <c r="F91" i="11"/>
  <c r="E91" i="11"/>
  <c r="D91" i="11"/>
  <c r="C91" i="11"/>
  <c r="H90" i="11"/>
  <c r="AK90" i="11" s="1"/>
  <c r="G90" i="11"/>
  <c r="Y90" i="11" s="1"/>
  <c r="F90" i="11"/>
  <c r="E90" i="11"/>
  <c r="D90" i="11"/>
  <c r="C90" i="11"/>
  <c r="H89" i="11"/>
  <c r="G89" i="11"/>
  <c r="AK89" i="11" s="1"/>
  <c r="F89" i="11"/>
  <c r="E89" i="11"/>
  <c r="D89" i="11"/>
  <c r="C89" i="11"/>
  <c r="AK88" i="11"/>
  <c r="AE88" i="11"/>
  <c r="Y88" i="11"/>
  <c r="S88" i="11"/>
  <c r="H88" i="11"/>
  <c r="G88" i="11"/>
  <c r="M88" i="11" s="1"/>
  <c r="F88" i="11"/>
  <c r="E88" i="11"/>
  <c r="D88" i="11"/>
  <c r="C88" i="11"/>
  <c r="AK87" i="11"/>
  <c r="AE87" i="11"/>
  <c r="Y87" i="11"/>
  <c r="S87" i="11"/>
  <c r="M87" i="11"/>
  <c r="H87" i="11"/>
  <c r="G87" i="11"/>
  <c r="F87" i="11"/>
  <c r="E87" i="11"/>
  <c r="D87" i="11"/>
  <c r="C87" i="11"/>
  <c r="Y86" i="11"/>
  <c r="H86" i="11"/>
  <c r="S86" i="11" s="1"/>
  <c r="G86" i="11"/>
  <c r="F86" i="11"/>
  <c r="E86" i="11"/>
  <c r="D86" i="11"/>
  <c r="C86" i="11"/>
  <c r="S85" i="11"/>
  <c r="H85" i="11"/>
  <c r="G85" i="11"/>
  <c r="M85" i="11" s="1"/>
  <c r="F85" i="11"/>
  <c r="E85" i="11"/>
  <c r="D85" i="11"/>
  <c r="C85" i="11"/>
  <c r="M84" i="11"/>
  <c r="H84" i="11"/>
  <c r="G84" i="11"/>
  <c r="AK84" i="11" s="1"/>
  <c r="F84" i="11"/>
  <c r="E84" i="11"/>
  <c r="D84" i="11"/>
  <c r="C84" i="11"/>
  <c r="AK83" i="11"/>
  <c r="H83" i="11"/>
  <c r="G83" i="11"/>
  <c r="AE83" i="11" s="1"/>
  <c r="F83" i="11"/>
  <c r="E83" i="11"/>
  <c r="D83" i="11"/>
  <c r="C83" i="11"/>
  <c r="H82" i="11"/>
  <c r="G82" i="11"/>
  <c r="AK82" i="11" s="1"/>
  <c r="F82" i="11"/>
  <c r="E82" i="11"/>
  <c r="D82" i="11"/>
  <c r="C82" i="11"/>
  <c r="Y81" i="11"/>
  <c r="H81" i="11"/>
  <c r="G81" i="11"/>
  <c r="AK81" i="11" s="1"/>
  <c r="F81" i="11"/>
  <c r="E81" i="11"/>
  <c r="D81" i="11"/>
  <c r="C81" i="11"/>
  <c r="Y80" i="11"/>
  <c r="S80" i="11"/>
  <c r="H80" i="11"/>
  <c r="AK80" i="11" s="1"/>
  <c r="G80" i="11"/>
  <c r="M80" i="11" s="1"/>
  <c r="F80" i="11"/>
  <c r="E80" i="11"/>
  <c r="D80" i="11"/>
  <c r="C80" i="11"/>
  <c r="AK79" i="11"/>
  <c r="S79" i="11"/>
  <c r="M79" i="11"/>
  <c r="H79" i="11"/>
  <c r="G79" i="11"/>
  <c r="AE79" i="11" s="1"/>
  <c r="F79" i="11"/>
  <c r="E79" i="11"/>
  <c r="D79" i="11"/>
  <c r="C79" i="11"/>
  <c r="H78" i="11"/>
  <c r="AK78" i="11" s="1"/>
  <c r="G78" i="11"/>
  <c r="F78" i="11"/>
  <c r="E78" i="11"/>
  <c r="D78" i="11"/>
  <c r="C78" i="11"/>
  <c r="H77" i="11"/>
  <c r="G77" i="11"/>
  <c r="AK77" i="11" s="1"/>
  <c r="F77" i="11"/>
  <c r="E77" i="11"/>
  <c r="D77" i="11"/>
  <c r="C77" i="11"/>
  <c r="AK76" i="11"/>
  <c r="AE76" i="11"/>
  <c r="Y76" i="11"/>
  <c r="S76" i="11"/>
  <c r="H76" i="11"/>
  <c r="G76" i="11"/>
  <c r="M76" i="11" s="1"/>
  <c r="F76" i="11"/>
  <c r="E76" i="11"/>
  <c r="D76" i="11"/>
  <c r="C76" i="11"/>
  <c r="AK75" i="11"/>
  <c r="AE75" i="11"/>
  <c r="Y75" i="11"/>
  <c r="S75" i="11"/>
  <c r="M75" i="11"/>
  <c r="H75" i="11"/>
  <c r="G75" i="11"/>
  <c r="F75" i="11"/>
  <c r="E75" i="11"/>
  <c r="D75" i="11"/>
  <c r="C75" i="11"/>
  <c r="Y74" i="11"/>
  <c r="H74" i="11"/>
  <c r="S74" i="11" s="1"/>
  <c r="G74" i="11"/>
  <c r="AK74" i="11" s="1"/>
  <c r="F74" i="11"/>
  <c r="E74" i="11"/>
  <c r="D74" i="11"/>
  <c r="C74" i="11"/>
  <c r="S73" i="11"/>
  <c r="H73" i="11"/>
  <c r="G73" i="11"/>
  <c r="M73" i="11" s="1"/>
  <c r="F73" i="11"/>
  <c r="E73" i="11"/>
  <c r="D73" i="11"/>
  <c r="C73" i="11"/>
  <c r="M72" i="11"/>
  <c r="H72" i="11"/>
  <c r="G72" i="11"/>
  <c r="AK72" i="11" s="1"/>
  <c r="F72" i="11"/>
  <c r="E72" i="11"/>
  <c r="D72" i="11"/>
  <c r="C72" i="11"/>
  <c r="AK71" i="11"/>
  <c r="H71" i="11"/>
  <c r="G71" i="11"/>
  <c r="AE71" i="11" s="1"/>
  <c r="F71" i="11"/>
  <c r="E71" i="11"/>
  <c r="D71" i="11"/>
  <c r="C71" i="11"/>
  <c r="H70" i="11"/>
  <c r="G70" i="11"/>
  <c r="AK70" i="11" s="1"/>
  <c r="F70" i="11"/>
  <c r="E70" i="11"/>
  <c r="D70" i="11"/>
  <c r="C70" i="11"/>
  <c r="Y69" i="11"/>
  <c r="H69" i="11"/>
  <c r="G69" i="11"/>
  <c r="AK69" i="11" s="1"/>
  <c r="F69" i="11"/>
  <c r="E69" i="11"/>
  <c r="D69" i="11"/>
  <c r="C69" i="11"/>
  <c r="Y68" i="11"/>
  <c r="S68" i="11"/>
  <c r="H68" i="11"/>
  <c r="AK68" i="11" s="1"/>
  <c r="G68" i="11"/>
  <c r="AE68" i="11" s="1"/>
  <c r="F68" i="11"/>
  <c r="E68" i="11"/>
  <c r="D68" i="11"/>
  <c r="C68" i="11"/>
  <c r="AK67" i="11"/>
  <c r="S67" i="11"/>
  <c r="M67" i="11"/>
  <c r="H67" i="11"/>
  <c r="G67" i="11"/>
  <c r="AE67" i="11" s="1"/>
  <c r="F67" i="11"/>
  <c r="E67" i="11"/>
  <c r="D67" i="11"/>
  <c r="C67" i="11"/>
  <c r="H66" i="11"/>
  <c r="AK66" i="11" s="1"/>
  <c r="G66" i="11"/>
  <c r="F66" i="11"/>
  <c r="E66" i="11"/>
  <c r="D66" i="11"/>
  <c r="C66" i="11"/>
  <c r="H65" i="11"/>
  <c r="G65" i="11"/>
  <c r="AK65" i="11" s="1"/>
  <c r="F65" i="11"/>
  <c r="E65" i="11"/>
  <c r="D65" i="11"/>
  <c r="C65" i="11"/>
  <c r="AK64" i="11"/>
  <c r="AE64" i="11"/>
  <c r="Y64" i="11"/>
  <c r="S64" i="11"/>
  <c r="H64" i="11"/>
  <c r="G64" i="11"/>
  <c r="M64" i="11" s="1"/>
  <c r="F64" i="11"/>
  <c r="E64" i="11"/>
  <c r="D64" i="11"/>
  <c r="C64" i="11"/>
  <c r="AK63" i="11"/>
  <c r="AE63" i="11"/>
  <c r="Y63" i="11"/>
  <c r="S63" i="11"/>
  <c r="M63" i="11"/>
  <c r="H63" i="11"/>
  <c r="G63" i="11"/>
  <c r="F63" i="11"/>
  <c r="E63" i="11"/>
  <c r="D63" i="11"/>
  <c r="C63" i="11"/>
  <c r="Y62" i="11"/>
  <c r="H62" i="11"/>
  <c r="S62" i="11" s="1"/>
  <c r="G62" i="11"/>
  <c r="AK62" i="11" s="1"/>
  <c r="F62" i="11"/>
  <c r="E62" i="11"/>
  <c r="D62" i="11"/>
  <c r="C62" i="11"/>
  <c r="S61" i="11"/>
  <c r="H61" i="11"/>
  <c r="G61" i="11"/>
  <c r="M61" i="11" s="1"/>
  <c r="F61" i="11"/>
  <c r="E61" i="11"/>
  <c r="D61" i="11"/>
  <c r="C61" i="11"/>
  <c r="M60" i="11"/>
  <c r="H60" i="11"/>
  <c r="G60" i="11"/>
  <c r="AK60" i="11" s="1"/>
  <c r="F60" i="11"/>
  <c r="E60" i="11"/>
  <c r="D60" i="11"/>
  <c r="C60" i="11"/>
  <c r="AK59" i="11"/>
  <c r="H59" i="11"/>
  <c r="G59" i="11"/>
  <c r="AE59" i="11" s="1"/>
  <c r="F59" i="11"/>
  <c r="E59" i="11"/>
  <c r="D59" i="11"/>
  <c r="C59" i="11"/>
  <c r="AE58" i="11"/>
  <c r="H58" i="11"/>
  <c r="G58" i="11"/>
  <c r="AK58" i="11" s="1"/>
  <c r="F58" i="11"/>
  <c r="E58" i="11"/>
  <c r="D58" i="11"/>
  <c r="C58" i="11"/>
  <c r="Y57" i="11"/>
  <c r="H57" i="11"/>
  <c r="G57" i="11"/>
  <c r="AK57" i="11" s="1"/>
  <c r="F57" i="11"/>
  <c r="E57" i="11"/>
  <c r="D57" i="11"/>
  <c r="C57" i="11"/>
  <c r="AK56" i="11"/>
  <c r="AE56" i="11"/>
  <c r="Y56" i="11"/>
  <c r="S56" i="11"/>
  <c r="H56" i="11"/>
  <c r="G56" i="11"/>
  <c r="M56" i="11" s="1"/>
  <c r="F56" i="11"/>
  <c r="E56" i="11"/>
  <c r="D56" i="11"/>
  <c r="C56" i="11"/>
  <c r="AK55" i="11"/>
  <c r="AE55" i="11"/>
  <c r="Y55" i="11"/>
  <c r="S55" i="11"/>
  <c r="M55" i="11"/>
  <c r="H55" i="11"/>
  <c r="G55" i="11"/>
  <c r="F55" i="11"/>
  <c r="E55" i="11"/>
  <c r="D55" i="11"/>
  <c r="C55" i="11"/>
  <c r="H54" i="11"/>
  <c r="AK54" i="11" s="1"/>
  <c r="G54" i="11"/>
  <c r="F54" i="11"/>
  <c r="E54" i="11"/>
  <c r="D54" i="11"/>
  <c r="C54" i="11"/>
  <c r="H53" i="11"/>
  <c r="G53" i="11"/>
  <c r="AK53" i="11" s="1"/>
  <c r="F53" i="11"/>
  <c r="E53" i="11"/>
  <c r="D53" i="11"/>
  <c r="C53" i="11"/>
  <c r="AK52" i="11"/>
  <c r="AE52" i="11"/>
  <c r="Y52" i="11"/>
  <c r="S52" i="11"/>
  <c r="H52" i="11"/>
  <c r="G52" i="11"/>
  <c r="M52" i="11" s="1"/>
  <c r="F52" i="11"/>
  <c r="E52" i="11"/>
  <c r="D52" i="11"/>
  <c r="C52" i="11"/>
  <c r="AK51" i="11"/>
  <c r="AE51" i="11"/>
  <c r="Y51" i="11"/>
  <c r="S51" i="11"/>
  <c r="M51" i="11"/>
  <c r="H51" i="11"/>
  <c r="G51" i="11"/>
  <c r="F51" i="11"/>
  <c r="E51" i="11"/>
  <c r="D51" i="11"/>
  <c r="C51" i="11"/>
  <c r="Y50" i="11"/>
  <c r="H50" i="11"/>
  <c r="S50" i="11" s="1"/>
  <c r="G50" i="11"/>
  <c r="AK50" i="11" s="1"/>
  <c r="F50" i="11"/>
  <c r="E50" i="11"/>
  <c r="D50" i="11"/>
  <c r="C50" i="11"/>
  <c r="S49" i="11"/>
  <c r="H49" i="11"/>
  <c r="G49" i="11"/>
  <c r="M49" i="11" s="1"/>
  <c r="F49" i="11"/>
  <c r="E49" i="11"/>
  <c r="D49" i="11"/>
  <c r="C49" i="11"/>
  <c r="M48" i="11"/>
  <c r="H48" i="11"/>
  <c r="G48" i="11"/>
  <c r="AK48" i="11" s="1"/>
  <c r="F48" i="11"/>
  <c r="E48" i="11"/>
  <c r="D48" i="11"/>
  <c r="C48" i="11"/>
  <c r="AK47" i="11"/>
  <c r="H47" i="11"/>
  <c r="G47" i="11"/>
  <c r="AE47" i="11" s="1"/>
  <c r="F47" i="11"/>
  <c r="E47" i="11"/>
  <c r="D47" i="11"/>
  <c r="C47" i="11"/>
  <c r="AE46" i="11"/>
  <c r="H46" i="11"/>
  <c r="G46" i="11"/>
  <c r="AK46" i="11" s="1"/>
  <c r="F46" i="11"/>
  <c r="E46" i="11"/>
  <c r="D46" i="11"/>
  <c r="C46" i="11"/>
  <c r="Y45" i="11"/>
  <c r="H45" i="11"/>
  <c r="G45" i="11"/>
  <c r="AK45" i="11" s="1"/>
  <c r="F45" i="11"/>
  <c r="E45" i="11"/>
  <c r="D45" i="11"/>
  <c r="C45" i="11"/>
  <c r="AK44" i="11"/>
  <c r="AE44" i="11"/>
  <c r="Y44" i="11"/>
  <c r="S44" i="11"/>
  <c r="H44" i="11"/>
  <c r="G44" i="11"/>
  <c r="M44" i="11" s="1"/>
  <c r="F44" i="11"/>
  <c r="E44" i="11"/>
  <c r="D44" i="11"/>
  <c r="C44" i="11"/>
  <c r="AK43" i="11"/>
  <c r="AE43" i="11"/>
  <c r="Y43" i="11"/>
  <c r="S43" i="11"/>
  <c r="M43" i="11"/>
  <c r="H43" i="11"/>
  <c r="G43" i="11"/>
  <c r="F43" i="11"/>
  <c r="E43" i="11"/>
  <c r="D43" i="11"/>
  <c r="C43" i="11"/>
  <c r="H42" i="11"/>
  <c r="AK42" i="11" s="1"/>
  <c r="G42" i="11"/>
  <c r="F42" i="11"/>
  <c r="E42" i="11"/>
  <c r="D42" i="11"/>
  <c r="C42" i="11"/>
  <c r="H41" i="11"/>
  <c r="G41" i="11"/>
  <c r="AK41" i="11" s="1"/>
  <c r="F41" i="11"/>
  <c r="E41" i="11"/>
  <c r="D41" i="11"/>
  <c r="C41" i="11"/>
  <c r="AK40" i="11"/>
  <c r="AE40" i="11"/>
  <c r="Y40" i="11"/>
  <c r="S40" i="11"/>
  <c r="H40" i="11"/>
  <c r="G40" i="11"/>
  <c r="M40" i="11" s="1"/>
  <c r="F40" i="11"/>
  <c r="E40" i="11"/>
  <c r="D40" i="11"/>
  <c r="C40" i="11"/>
  <c r="AK39" i="11"/>
  <c r="AE39" i="11"/>
  <c r="Y39" i="11"/>
  <c r="S39" i="11"/>
  <c r="M39" i="11"/>
  <c r="H39" i="11"/>
  <c r="G39" i="11"/>
  <c r="F39" i="11"/>
  <c r="E39" i="11"/>
  <c r="D39" i="11"/>
  <c r="C39" i="11"/>
  <c r="Y38" i="11"/>
  <c r="H38" i="11"/>
  <c r="S38" i="11" s="1"/>
  <c r="G38" i="11"/>
  <c r="AK38" i="11" s="1"/>
  <c r="F38" i="11"/>
  <c r="E38" i="11"/>
  <c r="D38" i="11"/>
  <c r="C38" i="11"/>
  <c r="S37" i="11"/>
  <c r="H37" i="11"/>
  <c r="G37" i="11"/>
  <c r="M37" i="11" s="1"/>
  <c r="F37" i="11"/>
  <c r="E37" i="11"/>
  <c r="D37" i="11"/>
  <c r="C37" i="11"/>
  <c r="M36" i="11"/>
  <c r="H36" i="11"/>
  <c r="G36" i="11"/>
  <c r="AK36" i="11" s="1"/>
  <c r="F36" i="11"/>
  <c r="E36" i="11"/>
  <c r="D36" i="11"/>
  <c r="C36" i="11"/>
  <c r="AK35" i="11"/>
  <c r="H35" i="11"/>
  <c r="G35" i="11"/>
  <c r="AE35" i="11" s="1"/>
  <c r="F35" i="11"/>
  <c r="E35" i="11"/>
  <c r="D35" i="11"/>
  <c r="C35" i="11"/>
  <c r="AE34" i="11"/>
  <c r="H34" i="11"/>
  <c r="G34" i="11"/>
  <c r="AK34" i="11" s="1"/>
  <c r="F34" i="11"/>
  <c r="E34" i="11"/>
  <c r="D34" i="11"/>
  <c r="C34" i="11"/>
  <c r="Y33" i="11"/>
  <c r="H33" i="11"/>
  <c r="G33" i="11"/>
  <c r="AK33" i="11" s="1"/>
  <c r="F33" i="11"/>
  <c r="E33" i="11"/>
  <c r="D33" i="11"/>
  <c r="C33" i="11"/>
  <c r="AK32" i="11"/>
  <c r="AE32" i="11"/>
  <c r="Y32" i="11"/>
  <c r="S32" i="11"/>
  <c r="H32" i="11"/>
  <c r="G32" i="11"/>
  <c r="M32" i="11" s="1"/>
  <c r="F32" i="11"/>
  <c r="E32" i="11"/>
  <c r="D32" i="11"/>
  <c r="C32" i="11"/>
  <c r="AK31" i="11"/>
  <c r="AE31" i="11"/>
  <c r="Y31" i="11"/>
  <c r="S31" i="11"/>
  <c r="M31" i="11"/>
  <c r="H31" i="11"/>
  <c r="G31" i="11"/>
  <c r="F31" i="11"/>
  <c r="E31" i="11"/>
  <c r="D31" i="11"/>
  <c r="C31" i="11"/>
  <c r="Y30" i="11"/>
  <c r="H30" i="11"/>
  <c r="AK30" i="11" s="1"/>
  <c r="G30" i="11"/>
  <c r="F30" i="11"/>
  <c r="E30" i="11"/>
  <c r="D30" i="11"/>
  <c r="C30" i="11"/>
  <c r="S29" i="11"/>
  <c r="H29" i="11"/>
  <c r="G29" i="11"/>
  <c r="AK29" i="11" s="1"/>
  <c r="F29" i="11"/>
  <c r="E29" i="11"/>
  <c r="D29" i="11"/>
  <c r="C29" i="11"/>
  <c r="AK28" i="11"/>
  <c r="AE28" i="11"/>
  <c r="Y28" i="11"/>
  <c r="S28" i="11"/>
  <c r="M28" i="11"/>
  <c r="H28" i="11"/>
  <c r="G28" i="11"/>
  <c r="F28" i="11"/>
  <c r="E28" i="11"/>
  <c r="D28" i="11"/>
  <c r="C28" i="11"/>
  <c r="AK27" i="11"/>
  <c r="H27" i="11"/>
  <c r="AE27" i="11" s="1"/>
  <c r="G27" i="11"/>
  <c r="F27" i="11"/>
  <c r="E27" i="11"/>
  <c r="D27" i="11"/>
  <c r="C27" i="11"/>
  <c r="AE26" i="11"/>
  <c r="H26" i="11"/>
  <c r="G26" i="11"/>
  <c r="Y26" i="11" s="1"/>
  <c r="F26" i="11"/>
  <c r="E26" i="11"/>
  <c r="D26" i="11"/>
  <c r="C26" i="11"/>
  <c r="Y25" i="11"/>
  <c r="S25" i="11"/>
  <c r="H25" i="11"/>
  <c r="G25" i="11"/>
  <c r="M25" i="11" s="1"/>
  <c r="F25" i="11"/>
  <c r="E25" i="11"/>
  <c r="D25" i="11"/>
  <c r="C25" i="11"/>
  <c r="S24" i="11"/>
  <c r="M24" i="11"/>
  <c r="H24" i="11"/>
  <c r="G24" i="11"/>
  <c r="AK24" i="11" s="1"/>
  <c r="F24" i="11"/>
  <c r="E24" i="11"/>
  <c r="D24" i="11"/>
  <c r="C24" i="11"/>
  <c r="AK23" i="11"/>
  <c r="M23" i="11"/>
  <c r="H23" i="11"/>
  <c r="G23" i="11"/>
  <c r="AE23" i="11" s="1"/>
  <c r="F23" i="11"/>
  <c r="E23" i="11"/>
  <c r="D23" i="11"/>
  <c r="C23" i="11"/>
  <c r="H22" i="11"/>
  <c r="AE22" i="11" s="1"/>
  <c r="G22" i="11"/>
  <c r="AK22" i="11" s="1"/>
  <c r="F22" i="11"/>
  <c r="E22" i="11"/>
  <c r="D22" i="11"/>
  <c r="C22" i="11"/>
  <c r="H21" i="11"/>
  <c r="G21" i="11"/>
  <c r="AK21" i="11" s="1"/>
  <c r="F21" i="11"/>
  <c r="E21" i="11"/>
  <c r="D21" i="11"/>
  <c r="C21" i="11"/>
  <c r="AK20" i="11"/>
  <c r="AE20" i="11"/>
  <c r="Y20" i="11"/>
  <c r="S20" i="11"/>
  <c r="H20" i="11"/>
  <c r="G20" i="11"/>
  <c r="M20" i="11" s="1"/>
  <c r="F20" i="11"/>
  <c r="E20" i="11"/>
  <c r="D20" i="11"/>
  <c r="C20" i="11"/>
  <c r="AK19" i="11"/>
  <c r="AE19" i="11"/>
  <c r="Y19" i="11"/>
  <c r="S19" i="11"/>
  <c r="M19" i="11"/>
  <c r="H19" i="11"/>
  <c r="G19" i="11"/>
  <c r="F19" i="11"/>
  <c r="E19" i="11"/>
  <c r="D19" i="11"/>
  <c r="C19" i="11"/>
  <c r="Y18" i="11"/>
  <c r="H18" i="11"/>
  <c r="AK18" i="11" s="1"/>
  <c r="G18" i="11"/>
  <c r="F18" i="11"/>
  <c r="E18" i="11"/>
  <c r="D18" i="11"/>
  <c r="C18" i="11"/>
  <c r="S17" i="11"/>
  <c r="H17" i="11"/>
  <c r="G17" i="11"/>
  <c r="AK17" i="11" s="1"/>
  <c r="F17" i="11"/>
  <c r="E17" i="11"/>
  <c r="D17" i="11"/>
  <c r="C17" i="11"/>
  <c r="AK16" i="11"/>
  <c r="AE16" i="11"/>
  <c r="Y16" i="11"/>
  <c r="S16" i="11"/>
  <c r="M16" i="11"/>
  <c r="H16" i="11"/>
  <c r="G16" i="11"/>
  <c r="F16" i="11"/>
  <c r="E16" i="11"/>
  <c r="D16" i="11"/>
  <c r="C16" i="11"/>
  <c r="AK15" i="11"/>
  <c r="H15" i="11"/>
  <c r="AE15" i="11" s="1"/>
  <c r="G15" i="11"/>
  <c r="F15" i="11"/>
  <c r="E15" i="11"/>
  <c r="D15" i="11"/>
  <c r="C15" i="11"/>
  <c r="AE14" i="11"/>
  <c r="H14" i="11"/>
  <c r="G14" i="11"/>
  <c r="Y14" i="11" s="1"/>
  <c r="F14" i="11"/>
  <c r="E14" i="11"/>
  <c r="D14" i="11"/>
  <c r="C14" i="11"/>
  <c r="Y13" i="11"/>
  <c r="S13" i="11"/>
  <c r="H13" i="11"/>
  <c r="G13" i="11"/>
  <c r="M13" i="11" s="1"/>
  <c r="F13" i="11"/>
  <c r="E13" i="11"/>
  <c r="D13" i="11"/>
  <c r="C13" i="11"/>
  <c r="S12" i="11"/>
  <c r="M12" i="11"/>
  <c r="H12" i="11"/>
  <c r="G12" i="11"/>
  <c r="AK12" i="11" s="1"/>
  <c r="F12" i="11"/>
  <c r="E12" i="11"/>
  <c r="D12" i="11"/>
  <c r="C12" i="11"/>
  <c r="AK11" i="11"/>
  <c r="M11" i="11"/>
  <c r="H11" i="11"/>
  <c r="G11" i="11"/>
  <c r="AE11" i="11" s="1"/>
  <c r="F11" i="11"/>
  <c r="E11" i="11"/>
  <c r="D11" i="11"/>
  <c r="C11" i="11"/>
  <c r="H10" i="11"/>
  <c r="AE10" i="11" s="1"/>
  <c r="G10" i="11"/>
  <c r="AK10" i="11" s="1"/>
  <c r="F10" i="11"/>
  <c r="E10" i="11"/>
  <c r="D10" i="11"/>
  <c r="C10" i="11"/>
  <c r="H9" i="11"/>
  <c r="G9" i="11"/>
  <c r="AK9" i="11" s="1"/>
  <c r="F9" i="11"/>
  <c r="E9" i="11"/>
  <c r="D9" i="11"/>
  <c r="C9" i="11"/>
  <c r="AK8" i="11"/>
  <c r="AE8" i="11"/>
  <c r="Y8" i="11"/>
  <c r="S8" i="11"/>
  <c r="H8" i="11"/>
  <c r="G8" i="11"/>
  <c r="M8" i="11" s="1"/>
  <c r="F8" i="11"/>
  <c r="E8" i="11"/>
  <c r="D8" i="11"/>
  <c r="C8" i="11"/>
  <c r="AK7" i="11"/>
  <c r="AE7" i="11"/>
  <c r="Y7" i="11"/>
  <c r="S7" i="11"/>
  <c r="M7" i="11"/>
  <c r="H7" i="11"/>
  <c r="G7" i="11"/>
  <c r="F7" i="11"/>
  <c r="E7" i="11"/>
  <c r="D7" i="11"/>
  <c r="C7" i="11"/>
  <c r="H6" i="11"/>
  <c r="AK6" i="11" s="1"/>
  <c r="G6" i="11"/>
  <c r="F6" i="11"/>
  <c r="E6" i="11"/>
  <c r="D6" i="11"/>
  <c r="C6" i="11"/>
  <c r="H5" i="11"/>
  <c r="G5" i="11"/>
  <c r="AK5" i="11" s="1"/>
  <c r="F5" i="11"/>
  <c r="E5" i="11"/>
  <c r="D5" i="11"/>
  <c r="C5" i="11"/>
  <c r="H57" i="10"/>
  <c r="H56" i="10"/>
  <c r="H55" i="10"/>
  <c r="E54" i="10"/>
  <c r="C54" i="10"/>
  <c r="E53" i="10"/>
  <c r="G52" i="10"/>
  <c r="E52" i="10"/>
  <c r="G51" i="10"/>
  <c r="F51" i="10"/>
  <c r="G50" i="10"/>
  <c r="H46" i="10"/>
  <c r="H45" i="10"/>
  <c r="H44" i="10"/>
  <c r="H43" i="10"/>
  <c r="H42" i="10"/>
  <c r="H41" i="10"/>
  <c r="G40" i="10"/>
  <c r="G47" i="10" s="1"/>
  <c r="F40" i="10"/>
  <c r="E40" i="10"/>
  <c r="D40" i="10"/>
  <c r="D47" i="10" s="1"/>
  <c r="C40" i="10"/>
  <c r="C47" i="10" s="1"/>
  <c r="H39" i="10"/>
  <c r="H38" i="10"/>
  <c r="H37" i="10"/>
  <c r="H36" i="10"/>
  <c r="G35" i="10"/>
  <c r="F35" i="10"/>
  <c r="E35" i="10"/>
  <c r="D35" i="10"/>
  <c r="C35" i="10"/>
  <c r="H35" i="10" s="1"/>
  <c r="Q42" i="9"/>
  <c r="P42" i="9"/>
  <c r="F49" i="10" s="1"/>
  <c r="O42" i="9"/>
  <c r="N42" i="9"/>
  <c r="M42" i="9"/>
  <c r="R41" i="9"/>
  <c r="L41" i="9"/>
  <c r="R40" i="9"/>
  <c r="L40" i="9"/>
  <c r="R39" i="9"/>
  <c r="L39" i="9"/>
  <c r="R38" i="9"/>
  <c r="L38" i="9"/>
  <c r="R37" i="9"/>
  <c r="R42" i="9" s="1"/>
  <c r="L37" i="9"/>
  <c r="L42" i="9" s="1"/>
  <c r="Q34" i="9"/>
  <c r="P34" i="9"/>
  <c r="O34" i="9"/>
  <c r="N34" i="9"/>
  <c r="D49" i="10" s="1"/>
  <c r="M34" i="9"/>
  <c r="C49" i="10" s="1"/>
  <c r="R33" i="9"/>
  <c r="L33" i="9"/>
  <c r="R32" i="9"/>
  <c r="L32" i="9"/>
  <c r="R31" i="9"/>
  <c r="L31" i="9"/>
  <c r="R30" i="9"/>
  <c r="L30" i="9"/>
  <c r="R29" i="9"/>
  <c r="L29" i="9"/>
  <c r="R28" i="9"/>
  <c r="L28" i="9"/>
  <c r="R27" i="9"/>
  <c r="L27" i="9"/>
  <c r="R26" i="9"/>
  <c r="L26" i="9"/>
  <c r="R25" i="9"/>
  <c r="L25" i="9"/>
  <c r="R24" i="9"/>
  <c r="R34" i="9" s="1"/>
  <c r="L24" i="9"/>
  <c r="J20" i="9"/>
  <c r="F19" i="9"/>
  <c r="I19" i="9" s="1"/>
  <c r="L19" i="9" s="1"/>
  <c r="O19" i="9" s="1"/>
  <c r="R19" i="9" s="1"/>
  <c r="Q18" i="9"/>
  <c r="Q20" i="9" s="1"/>
  <c r="P18" i="9"/>
  <c r="P20" i="9" s="1"/>
  <c r="N18" i="9"/>
  <c r="N20" i="9" s="1"/>
  <c r="M18" i="9"/>
  <c r="M20" i="9" s="1"/>
  <c r="K18" i="9"/>
  <c r="K20" i="9" s="1"/>
  <c r="J18" i="9"/>
  <c r="H18" i="9"/>
  <c r="H20" i="9" s="1"/>
  <c r="G18" i="9"/>
  <c r="G20" i="9" s="1"/>
  <c r="E18" i="9"/>
  <c r="E20" i="9" s="1"/>
  <c r="D18" i="9"/>
  <c r="D20" i="9" s="1"/>
  <c r="C18" i="9"/>
  <c r="C20" i="9" s="1"/>
  <c r="F17" i="9"/>
  <c r="I17" i="9" s="1"/>
  <c r="L17" i="9" s="1"/>
  <c r="O17" i="9" s="1"/>
  <c r="R17" i="9" s="1"/>
  <c r="F16" i="9"/>
  <c r="I16" i="9" s="1"/>
  <c r="L16" i="9" s="1"/>
  <c r="O16" i="9" s="1"/>
  <c r="R16" i="9" s="1"/>
  <c r="F15" i="9"/>
  <c r="I15" i="9" s="1"/>
  <c r="L15" i="9" s="1"/>
  <c r="O15" i="9" s="1"/>
  <c r="R15" i="9" s="1"/>
  <c r="F14" i="9"/>
  <c r="I14" i="9" s="1"/>
  <c r="L14" i="9" s="1"/>
  <c r="O14" i="9" s="1"/>
  <c r="R14" i="9" s="1"/>
  <c r="F13" i="9"/>
  <c r="I13" i="9" s="1"/>
  <c r="L13" i="9" s="1"/>
  <c r="O13" i="9" s="1"/>
  <c r="R13" i="9" s="1"/>
  <c r="F12" i="9"/>
  <c r="I12" i="9" s="1"/>
  <c r="L12" i="9" s="1"/>
  <c r="O12" i="9" s="1"/>
  <c r="R12" i="9" s="1"/>
  <c r="F11" i="9"/>
  <c r="O110" i="8"/>
  <c r="G54" i="10" s="1"/>
  <c r="N110" i="8"/>
  <c r="F54" i="10" s="1"/>
  <c r="M110" i="8"/>
  <c r="L110" i="8"/>
  <c r="D54" i="10" s="1"/>
  <c r="K110" i="8"/>
  <c r="P110" i="8" s="1"/>
  <c r="P109" i="8"/>
  <c r="J109" i="8"/>
  <c r="P108" i="8"/>
  <c r="J108" i="8"/>
  <c r="P107" i="8"/>
  <c r="J107" i="8"/>
  <c r="P106" i="8"/>
  <c r="J106" i="8"/>
  <c r="P105" i="8"/>
  <c r="J105" i="8"/>
  <c r="P104" i="8"/>
  <c r="J104" i="8"/>
  <c r="P103" i="8"/>
  <c r="J103" i="8"/>
  <c r="P102" i="8"/>
  <c r="J102" i="8"/>
  <c r="P101" i="8"/>
  <c r="J101" i="8"/>
  <c r="P100" i="8"/>
  <c r="J100" i="8"/>
  <c r="P99" i="8"/>
  <c r="J99" i="8"/>
  <c r="P98" i="8"/>
  <c r="J98" i="8"/>
  <c r="P97" i="8"/>
  <c r="J97" i="8"/>
  <c r="P96" i="8"/>
  <c r="J96" i="8"/>
  <c r="P95" i="8"/>
  <c r="J95" i="8"/>
  <c r="P94" i="8"/>
  <c r="J94" i="8"/>
  <c r="P93" i="8"/>
  <c r="J93" i="8"/>
  <c r="P92" i="8"/>
  <c r="J92" i="8"/>
  <c r="P91" i="8"/>
  <c r="J91" i="8"/>
  <c r="P90" i="8"/>
  <c r="J90" i="8"/>
  <c r="J110" i="8" s="1"/>
  <c r="P89" i="8"/>
  <c r="J89" i="8"/>
  <c r="P88" i="8"/>
  <c r="J88" i="8"/>
  <c r="D85" i="8"/>
  <c r="D84" i="8"/>
  <c r="D83" i="8"/>
  <c r="D82" i="8"/>
  <c r="D81" i="8"/>
  <c r="D80" i="8"/>
  <c r="D79" i="8"/>
  <c r="D78" i="8"/>
  <c r="D77" i="8"/>
  <c r="D76" i="8"/>
  <c r="D75" i="8"/>
  <c r="D74" i="8"/>
  <c r="D73" i="8"/>
  <c r="D72" i="8"/>
  <c r="D71" i="8"/>
  <c r="D70" i="8"/>
  <c r="D69" i="8"/>
  <c r="D68" i="8"/>
  <c r="D67" i="8"/>
  <c r="D66" i="8"/>
  <c r="D65" i="8"/>
  <c r="D64" i="8"/>
  <c r="D63" i="8"/>
  <c r="D62" i="8"/>
  <c r="D61" i="8"/>
  <c r="D60" i="8"/>
  <c r="D59" i="8"/>
  <c r="D58" i="8"/>
  <c r="D57" i="8"/>
  <c r="D56" i="8"/>
  <c r="D52" i="8"/>
  <c r="D51" i="8"/>
  <c r="D50" i="8"/>
  <c r="D49" i="8"/>
  <c r="D48" i="8"/>
  <c r="D47" i="8"/>
  <c r="D46" i="8"/>
  <c r="D45" i="8"/>
  <c r="D44" i="8"/>
  <c r="D43" i="8"/>
  <c r="D42" i="8"/>
  <c r="D41" i="8"/>
  <c r="D40" i="8"/>
  <c r="D39" i="8"/>
  <c r="D38" i="8"/>
  <c r="O111" i="7"/>
  <c r="N111" i="7"/>
  <c r="F52" i="10" s="1"/>
  <c r="M111" i="7"/>
  <c r="L111" i="7"/>
  <c r="D52" i="10" s="1"/>
  <c r="K111" i="7"/>
  <c r="C52" i="10" s="1"/>
  <c r="P110" i="7"/>
  <c r="J110" i="7"/>
  <c r="P109" i="7"/>
  <c r="J109" i="7"/>
  <c r="P108" i="7"/>
  <c r="J108" i="7"/>
  <c r="P107" i="7"/>
  <c r="J107" i="7"/>
  <c r="P106" i="7"/>
  <c r="J106" i="7"/>
  <c r="P105" i="7"/>
  <c r="J105" i="7"/>
  <c r="P104" i="7"/>
  <c r="J104" i="7"/>
  <c r="P103" i="7"/>
  <c r="J103" i="7"/>
  <c r="P102" i="7"/>
  <c r="J102" i="7"/>
  <c r="P101" i="7"/>
  <c r="J101" i="7"/>
  <c r="P100" i="7"/>
  <c r="J100" i="7"/>
  <c r="P99" i="7"/>
  <c r="J99" i="7"/>
  <c r="P98" i="7"/>
  <c r="J98" i="7"/>
  <c r="P97" i="7"/>
  <c r="J97" i="7"/>
  <c r="P96" i="7"/>
  <c r="J96" i="7"/>
  <c r="P95" i="7"/>
  <c r="J95" i="7"/>
  <c r="P94" i="7"/>
  <c r="J94" i="7"/>
  <c r="P93" i="7"/>
  <c r="J93" i="7"/>
  <c r="P92" i="7"/>
  <c r="J92" i="7"/>
  <c r="P91" i="7"/>
  <c r="J91" i="7"/>
  <c r="J111" i="7" s="1"/>
  <c r="P90" i="7"/>
  <c r="J90" i="7"/>
  <c r="P89" i="7"/>
  <c r="J89"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3" i="7"/>
  <c r="D52" i="7"/>
  <c r="D51" i="7"/>
  <c r="D50" i="7"/>
  <c r="D49" i="7"/>
  <c r="D48" i="7"/>
  <c r="D47" i="7"/>
  <c r="D46" i="7"/>
  <c r="D45" i="7"/>
  <c r="D44" i="7"/>
  <c r="D43" i="7"/>
  <c r="D42" i="7"/>
  <c r="D41" i="7"/>
  <c r="D40" i="7"/>
  <c r="D39" i="7"/>
  <c r="O111" i="6"/>
  <c r="N111" i="6"/>
  <c r="M111" i="6"/>
  <c r="E51" i="10" s="1"/>
  <c r="L111" i="6"/>
  <c r="D51" i="10" s="1"/>
  <c r="K111" i="6"/>
  <c r="P111" i="6" s="1"/>
  <c r="P110" i="6"/>
  <c r="J110" i="6"/>
  <c r="P109" i="6"/>
  <c r="J109" i="6"/>
  <c r="P108" i="6"/>
  <c r="J108" i="6"/>
  <c r="P107" i="6"/>
  <c r="J107" i="6"/>
  <c r="P106" i="6"/>
  <c r="J106" i="6"/>
  <c r="P105" i="6"/>
  <c r="J105" i="6"/>
  <c r="P104" i="6"/>
  <c r="J104" i="6"/>
  <c r="P103" i="6"/>
  <c r="J103" i="6"/>
  <c r="P102" i="6"/>
  <c r="J102" i="6"/>
  <c r="P101" i="6"/>
  <c r="J101" i="6"/>
  <c r="P100" i="6"/>
  <c r="J100" i="6"/>
  <c r="P99" i="6"/>
  <c r="J99" i="6"/>
  <c r="P98" i="6"/>
  <c r="J98" i="6"/>
  <c r="P97" i="6"/>
  <c r="J97" i="6"/>
  <c r="P96" i="6"/>
  <c r="J96" i="6"/>
  <c r="P95" i="6"/>
  <c r="J95" i="6"/>
  <c r="P94" i="6"/>
  <c r="J94" i="6"/>
  <c r="P93" i="6"/>
  <c r="J93" i="6"/>
  <c r="P92" i="6"/>
  <c r="J92" i="6"/>
  <c r="P91" i="6"/>
  <c r="J91" i="6"/>
  <c r="J111" i="6" s="1"/>
  <c r="P90" i="6"/>
  <c r="J90" i="6"/>
  <c r="P89" i="6"/>
  <c r="J89"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3" i="6"/>
  <c r="D52" i="6"/>
  <c r="D51" i="6"/>
  <c r="D50" i="6"/>
  <c r="D49" i="6"/>
  <c r="D48" i="6"/>
  <c r="D47" i="6"/>
  <c r="D46" i="6"/>
  <c r="D45" i="6"/>
  <c r="D44" i="6"/>
  <c r="D43" i="6"/>
  <c r="D42" i="6"/>
  <c r="D41" i="6"/>
  <c r="D40" i="6"/>
  <c r="D39" i="6"/>
  <c r="O113" i="5"/>
  <c r="N113" i="5"/>
  <c r="F50" i="10" s="1"/>
  <c r="M113" i="5"/>
  <c r="E50" i="10" s="1"/>
  <c r="L113" i="5"/>
  <c r="D50" i="10" s="1"/>
  <c r="K113" i="5"/>
  <c r="P113" i="5" s="1"/>
  <c r="P112" i="5"/>
  <c r="J112" i="5"/>
  <c r="P111" i="5"/>
  <c r="J111" i="5"/>
  <c r="P110" i="5"/>
  <c r="J110" i="5"/>
  <c r="P109" i="5"/>
  <c r="J109" i="5"/>
  <c r="P108" i="5"/>
  <c r="J108" i="5"/>
  <c r="P107" i="5"/>
  <c r="J107" i="5"/>
  <c r="P106" i="5"/>
  <c r="J106" i="5"/>
  <c r="P105" i="5"/>
  <c r="J105" i="5"/>
  <c r="P104" i="5"/>
  <c r="J104" i="5"/>
  <c r="P103" i="5"/>
  <c r="J103" i="5"/>
  <c r="P102" i="5"/>
  <c r="J102" i="5"/>
  <c r="P101" i="5"/>
  <c r="J101" i="5"/>
  <c r="P100" i="5"/>
  <c r="J100" i="5"/>
  <c r="P99" i="5"/>
  <c r="J99" i="5"/>
  <c r="P98" i="5"/>
  <c r="J98" i="5"/>
  <c r="P97" i="5"/>
  <c r="J97" i="5"/>
  <c r="P96" i="5"/>
  <c r="J96" i="5"/>
  <c r="P95" i="5"/>
  <c r="J95" i="5"/>
  <c r="P94" i="5"/>
  <c r="J94" i="5"/>
  <c r="P93" i="5"/>
  <c r="J93" i="5"/>
  <c r="J113" i="5" s="1"/>
  <c r="P92" i="5"/>
  <c r="J92" i="5"/>
  <c r="P91" i="5"/>
  <c r="J91"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5" i="5"/>
  <c r="D54" i="5"/>
  <c r="D53" i="5"/>
  <c r="D52" i="5"/>
  <c r="D51" i="5"/>
  <c r="D50" i="5"/>
  <c r="D49" i="5"/>
  <c r="D48" i="5"/>
  <c r="D47" i="5"/>
  <c r="D46" i="5"/>
  <c r="D45" i="5"/>
  <c r="D44" i="5"/>
  <c r="D43" i="5"/>
  <c r="D42" i="5"/>
  <c r="D41" i="5"/>
  <c r="O110" i="4"/>
  <c r="G53" i="10" s="1"/>
  <c r="N110" i="4"/>
  <c r="F53" i="10" s="1"/>
  <c r="M110" i="4"/>
  <c r="L110" i="4"/>
  <c r="D53" i="10" s="1"/>
  <c r="K110" i="4"/>
  <c r="P110" i="4" s="1"/>
  <c r="P109" i="4"/>
  <c r="J109" i="4"/>
  <c r="P108" i="4"/>
  <c r="J108" i="4"/>
  <c r="P107" i="4"/>
  <c r="J107" i="4"/>
  <c r="P106" i="4"/>
  <c r="J106" i="4"/>
  <c r="P105" i="4"/>
  <c r="J105" i="4"/>
  <c r="P104" i="4"/>
  <c r="J104" i="4"/>
  <c r="P103" i="4"/>
  <c r="J103" i="4"/>
  <c r="P102" i="4"/>
  <c r="J102" i="4"/>
  <c r="P101" i="4"/>
  <c r="J101" i="4"/>
  <c r="P100" i="4"/>
  <c r="J100" i="4"/>
  <c r="P99" i="4"/>
  <c r="J99" i="4"/>
  <c r="P98" i="4"/>
  <c r="J98" i="4"/>
  <c r="P97" i="4"/>
  <c r="J97" i="4"/>
  <c r="P96" i="4"/>
  <c r="J96" i="4"/>
  <c r="P95" i="4"/>
  <c r="J95" i="4"/>
  <c r="P94" i="4"/>
  <c r="J94" i="4"/>
  <c r="P93" i="4"/>
  <c r="J93" i="4"/>
  <c r="P92" i="4"/>
  <c r="J92" i="4"/>
  <c r="P91" i="4"/>
  <c r="J91" i="4"/>
  <c r="P90" i="4"/>
  <c r="J90" i="4"/>
  <c r="J110" i="4" s="1"/>
  <c r="P89" i="4"/>
  <c r="J89" i="4"/>
  <c r="P88" i="4"/>
  <c r="J88" i="4"/>
  <c r="D85" i="4"/>
  <c r="D84" i="4"/>
  <c r="D83" i="4"/>
  <c r="D82" i="4"/>
  <c r="D81" i="4"/>
  <c r="D80" i="4"/>
  <c r="D79" i="4"/>
  <c r="D78" i="4"/>
  <c r="D77" i="4"/>
  <c r="D76" i="4"/>
  <c r="D75" i="4"/>
  <c r="D74" i="4"/>
  <c r="D73" i="4"/>
  <c r="D72" i="4"/>
  <c r="D71" i="4"/>
  <c r="D70" i="4"/>
  <c r="D69" i="4"/>
  <c r="D68" i="4"/>
  <c r="D67" i="4"/>
  <c r="D66" i="4"/>
  <c r="D65" i="4"/>
  <c r="D64" i="4"/>
  <c r="D63" i="4"/>
  <c r="D62" i="4"/>
  <c r="D61" i="4"/>
  <c r="D60" i="4"/>
  <c r="D59" i="4"/>
  <c r="D58" i="4"/>
  <c r="D57" i="4"/>
  <c r="D56" i="4"/>
  <c r="D52" i="4"/>
  <c r="D51" i="4"/>
  <c r="D50" i="4"/>
  <c r="D49" i="4"/>
  <c r="D48" i="4"/>
  <c r="D47" i="4"/>
  <c r="D46" i="4"/>
  <c r="D45" i="4"/>
  <c r="D44" i="4"/>
  <c r="D43" i="4"/>
  <c r="D42" i="4"/>
  <c r="D41" i="4"/>
  <c r="D40" i="4"/>
  <c r="D39" i="4"/>
  <c r="D38" i="4"/>
  <c r="E3" i="3"/>
  <c r="D58" i="10" l="1"/>
  <c r="E47" i="10"/>
  <c r="F58" i="10"/>
  <c r="F47" i="10"/>
  <c r="F18" i="9"/>
  <c r="F20" i="9" s="1"/>
  <c r="E49" i="10"/>
  <c r="I11" i="9"/>
  <c r="L11" i="9" s="1"/>
  <c r="L18" i="9" s="1"/>
  <c r="L20" i="9" s="1"/>
  <c r="L34" i="9"/>
  <c r="G49" i="10"/>
  <c r="G58" i="10" s="1"/>
  <c r="H52" i="10"/>
  <c r="E58" i="10"/>
  <c r="H54" i="10"/>
  <c r="H49" i="10"/>
  <c r="M35" i="11"/>
  <c r="S36" i="11"/>
  <c r="Y37" i="11"/>
  <c r="AE38" i="11"/>
  <c r="M47" i="11"/>
  <c r="S48" i="11"/>
  <c r="Y49" i="11"/>
  <c r="AE50" i="11"/>
  <c r="M59" i="11"/>
  <c r="S60" i="11"/>
  <c r="Y61" i="11"/>
  <c r="AE62" i="11"/>
  <c r="M71" i="11"/>
  <c r="S72" i="11"/>
  <c r="Y73" i="11"/>
  <c r="AE74" i="11"/>
  <c r="M83" i="11"/>
  <c r="S84" i="11"/>
  <c r="Y85" i="11"/>
  <c r="AE86" i="11"/>
  <c r="M95" i="11"/>
  <c r="S96" i="11"/>
  <c r="Y97" i="11"/>
  <c r="C51" i="10"/>
  <c r="H51" i="10" s="1"/>
  <c r="M10" i="11"/>
  <c r="S11" i="11"/>
  <c r="Y12" i="11"/>
  <c r="AE13" i="11"/>
  <c r="AK14" i="11"/>
  <c r="M22" i="11"/>
  <c r="S23" i="11"/>
  <c r="Y24" i="11"/>
  <c r="AE25" i="11"/>
  <c r="AK26" i="11"/>
  <c r="M34" i="11"/>
  <c r="S35" i="11"/>
  <c r="Y36" i="11"/>
  <c r="AE37" i="11"/>
  <c r="M46" i="11"/>
  <c r="S47" i="11"/>
  <c r="Y48" i="11"/>
  <c r="AE49" i="11"/>
  <c r="M58" i="11"/>
  <c r="S59" i="11"/>
  <c r="Y60" i="11"/>
  <c r="AE61" i="11"/>
  <c r="M70" i="11"/>
  <c r="S71" i="11"/>
  <c r="Y72" i="11"/>
  <c r="AE73" i="11"/>
  <c r="M82" i="11"/>
  <c r="S83" i="11"/>
  <c r="Y84" i="11"/>
  <c r="AE85" i="11"/>
  <c r="AK86" i="11"/>
  <c r="M94" i="11"/>
  <c r="S95" i="11"/>
  <c r="Y96" i="11"/>
  <c r="AE97" i="11"/>
  <c r="I18" i="9"/>
  <c r="I20" i="9" s="1"/>
  <c r="M9" i="11"/>
  <c r="S10" i="11"/>
  <c r="Y11" i="11"/>
  <c r="AE12" i="11"/>
  <c r="AK13" i="11"/>
  <c r="M21" i="11"/>
  <c r="S22" i="11"/>
  <c r="Y23" i="11"/>
  <c r="AE24" i="11"/>
  <c r="AK25" i="11"/>
  <c r="M33" i="11"/>
  <c r="S34" i="11"/>
  <c r="Y35" i="11"/>
  <c r="AE36" i="11"/>
  <c r="AK37" i="11"/>
  <c r="M45" i="11"/>
  <c r="S46" i="11"/>
  <c r="Y47" i="11"/>
  <c r="AE48" i="11"/>
  <c r="AK49" i="11"/>
  <c r="M57" i="11"/>
  <c r="S58" i="11"/>
  <c r="Y59" i="11"/>
  <c r="AE60" i="11"/>
  <c r="AK61" i="11"/>
  <c r="M69" i="11"/>
  <c r="S70" i="11"/>
  <c r="Y71" i="11"/>
  <c r="AE72" i="11"/>
  <c r="AK73" i="11"/>
  <c r="M81" i="11"/>
  <c r="S82" i="11"/>
  <c r="Y83" i="11"/>
  <c r="AE84" i="11"/>
  <c r="AK85" i="11"/>
  <c r="M93" i="11"/>
  <c r="S94" i="11"/>
  <c r="Y95" i="11"/>
  <c r="AE96" i="11"/>
  <c r="H40" i="10"/>
  <c r="C53" i="10"/>
  <c r="H53" i="10" s="1"/>
  <c r="S9" i="11"/>
  <c r="Y10" i="11"/>
  <c r="S21" i="11"/>
  <c r="Y22" i="11"/>
  <c r="S33" i="11"/>
  <c r="Y34" i="11"/>
  <c r="S45" i="11"/>
  <c r="Y46" i="11"/>
  <c r="S57" i="11"/>
  <c r="Y58" i="11"/>
  <c r="M68" i="11"/>
  <c r="S69" i="11"/>
  <c r="Y70" i="11"/>
  <c r="S81" i="11"/>
  <c r="Y82" i="11"/>
  <c r="M92" i="11"/>
  <c r="S93" i="11"/>
  <c r="Y94" i="11"/>
  <c r="AE95" i="11"/>
  <c r="M104" i="11"/>
  <c r="Y21" i="11"/>
  <c r="AE70" i="11"/>
  <c r="AE82" i="11"/>
  <c r="Y93" i="11"/>
  <c r="AE94" i="11"/>
  <c r="M103" i="11"/>
  <c r="S104" i="11"/>
  <c r="Y9" i="11"/>
  <c r="M6" i="11"/>
  <c r="AE9" i="11"/>
  <c r="M18" i="11"/>
  <c r="AE21" i="11"/>
  <c r="M30" i="11"/>
  <c r="AE33" i="11"/>
  <c r="M42" i="11"/>
  <c r="AE45" i="11"/>
  <c r="M54" i="11"/>
  <c r="AE57" i="11"/>
  <c r="M66" i="11"/>
  <c r="AE69" i="11"/>
  <c r="M78" i="11"/>
  <c r="AE81" i="11"/>
  <c r="M90" i="11"/>
  <c r="AE93" i="11"/>
  <c r="M102" i="11"/>
  <c r="S103" i="11"/>
  <c r="Y104" i="11"/>
  <c r="C50" i="10"/>
  <c r="H50" i="10" s="1"/>
  <c r="M5" i="11"/>
  <c r="S6" i="11"/>
  <c r="M17" i="11"/>
  <c r="S18" i="11"/>
  <c r="M29" i="11"/>
  <c r="S30" i="11"/>
  <c r="M41" i="11"/>
  <c r="S42" i="11"/>
  <c r="M53" i="11"/>
  <c r="S54" i="11"/>
  <c r="M65" i="11"/>
  <c r="S66" i="11"/>
  <c r="Y67" i="11"/>
  <c r="M77" i="11"/>
  <c r="S78" i="11"/>
  <c r="Y79" i="11"/>
  <c r="AE80" i="11"/>
  <c r="M89" i="11"/>
  <c r="S90" i="11"/>
  <c r="Y91" i="11"/>
  <c r="AE92" i="11"/>
  <c r="M101" i="11"/>
  <c r="S102" i="11"/>
  <c r="Y103" i="11"/>
  <c r="AE104" i="11"/>
  <c r="S5" i="11"/>
  <c r="Y6" i="11"/>
  <c r="S41" i="11"/>
  <c r="Y42" i="11"/>
  <c r="S53" i="11"/>
  <c r="Y54" i="11"/>
  <c r="S65" i="11"/>
  <c r="Y66" i="11"/>
  <c r="S77" i="11"/>
  <c r="Y78" i="11"/>
  <c r="S89" i="11"/>
  <c r="M100" i="11"/>
  <c r="S101" i="11"/>
  <c r="Y102" i="11"/>
  <c r="AE103" i="11"/>
  <c r="P111" i="7"/>
  <c r="Y5" i="11"/>
  <c r="AE6" i="11"/>
  <c r="M15" i="11"/>
  <c r="Y17" i="11"/>
  <c r="AE18" i="11"/>
  <c r="M27" i="11"/>
  <c r="Y29" i="11"/>
  <c r="AE30" i="11"/>
  <c r="Y41" i="11"/>
  <c r="AE42" i="11"/>
  <c r="Y53" i="11"/>
  <c r="AE54" i="11"/>
  <c r="Y65" i="11"/>
  <c r="AE66" i="11"/>
  <c r="Y77" i="11"/>
  <c r="AE78" i="11"/>
  <c r="Y89" i="11"/>
  <c r="AE90" i="11"/>
  <c r="S100" i="11"/>
  <c r="Y101" i="11"/>
  <c r="AE5" i="11"/>
  <c r="M14" i="11"/>
  <c r="S15" i="11"/>
  <c r="AE17" i="11"/>
  <c r="M26" i="11"/>
  <c r="S27" i="11"/>
  <c r="AE29" i="11"/>
  <c r="M38" i="11"/>
  <c r="AE41" i="11"/>
  <c r="M50" i="11"/>
  <c r="AE53" i="11"/>
  <c r="M62" i="11"/>
  <c r="AE65" i="11"/>
  <c r="M74" i="11"/>
  <c r="AE77" i="11"/>
  <c r="M86" i="11"/>
  <c r="AE89" i="11"/>
  <c r="Y100" i="11"/>
  <c r="AE101" i="11"/>
  <c r="S14" i="11"/>
  <c r="Y15" i="11"/>
  <c r="S26" i="11"/>
  <c r="Y27" i="11"/>
  <c r="O11" i="9" l="1"/>
  <c r="O18" i="9" s="1"/>
  <c r="O20" i="9" s="1"/>
  <c r="H47" i="10"/>
  <c r="I40" i="10" s="1"/>
  <c r="C58" i="10"/>
  <c r="R11" i="9" l="1"/>
  <c r="R18" i="9" s="1"/>
  <c r="R20" i="9" s="1"/>
  <c r="H58" i="10"/>
  <c r="H59" i="10" s="1"/>
  <c r="C59" i="10"/>
  <c r="D59" i="10" s="1"/>
  <c r="E59" i="10" s="1"/>
  <c r="F59" i="10" s="1"/>
  <c r="G59" i="10" s="1"/>
  <c r="I43" i="10"/>
  <c r="I39" i="10"/>
  <c r="I42" i="10"/>
  <c r="I38" i="10"/>
  <c r="I46" i="10"/>
  <c r="I44" i="10"/>
  <c r="I41" i="10"/>
  <c r="I37" i="10"/>
  <c r="I45" i="10"/>
  <c r="I35" i="10"/>
  <c r="I36" i="10"/>
  <c r="I57" i="10" l="1"/>
  <c r="I58" i="10"/>
  <c r="I55" i="10"/>
  <c r="I56" i="10"/>
  <c r="I49" i="10"/>
  <c r="I50" i="10"/>
  <c r="I51" i="10"/>
  <c r="I52" i="10"/>
  <c r="I53" i="10"/>
  <c r="I54" i="10"/>
</calcChain>
</file>

<file path=xl/sharedStrings.xml><?xml version="1.0" encoding="utf-8"?>
<sst xmlns="http://schemas.openxmlformats.org/spreadsheetml/2006/main" count="1439" uniqueCount="614">
  <si>
    <t>Project Proposal Form</t>
  </si>
  <si>
    <t>Country Name</t>
  </si>
  <si>
    <t>Project Name</t>
  </si>
  <si>
    <t>Project Type</t>
  </si>
  <si>
    <t>Design Type</t>
  </si>
  <si>
    <t>Prepared by</t>
  </si>
  <si>
    <t>(Name)</t>
  </si>
  <si>
    <t>(Position)</t>
  </si>
  <si>
    <t>Reviewed by</t>
  </si>
  <si>
    <t>Authorized by</t>
  </si>
  <si>
    <t>Submission Date</t>
  </si>
  <si>
    <t>MM-DD-YY</t>
  </si>
  <si>
    <t>Table of Contents</t>
  </si>
  <si>
    <t>1. Project Overview</t>
  </si>
  <si>
    <t>2. Community Assessment Result</t>
  </si>
  <si>
    <t>General Information of the Community</t>
  </si>
  <si>
    <t>Need Assessment Result</t>
  </si>
  <si>
    <t>Contextual Analysis</t>
  </si>
  <si>
    <t>3. Sectoral Approach</t>
  </si>
  <si>
    <t>4. Child Sponsorship Management (If applicable)</t>
  </si>
  <si>
    <t>5. Project Management Plan</t>
  </si>
  <si>
    <t>(Annex) Indicator Tracking Tool</t>
  </si>
  <si>
    <t>Category</t>
  </si>
  <si>
    <t>Description</t>
  </si>
  <si>
    <t>Target Area</t>
  </si>
  <si>
    <t>Target Area Name</t>
  </si>
  <si>
    <t>GPS coordinates of target area</t>
  </si>
  <si>
    <t>Distance from the Head Office</t>
  </si>
  <si>
    <t>Please put the map of the Target Area.</t>
  </si>
  <si>
    <t>Project Period
(MM.YYYY~MM.YYYY)</t>
  </si>
  <si>
    <t>~</t>
  </si>
  <si>
    <t>Project Budget (USD)</t>
  </si>
  <si>
    <t>Direct
Participants</t>
  </si>
  <si>
    <t>Children</t>
  </si>
  <si>
    <t>Boy</t>
  </si>
  <si>
    <t>Girl</t>
  </si>
  <si>
    <t>Adults</t>
  </si>
  <si>
    <t>Male</t>
  </si>
  <si>
    <t>Female</t>
  </si>
  <si>
    <t>Indirect 
Participants</t>
  </si>
  <si>
    <t>Expected 
Outcome and Output</t>
  </si>
  <si>
    <t xml:space="preserve">
Please share the overall logical framework of the project.
</t>
  </si>
  <si>
    <t>Total Population</t>
  </si>
  <si>
    <t>Age 0-5 (Under 5)</t>
  </si>
  <si>
    <t>Ages 6-12 (Primary)</t>
  </si>
  <si>
    <t>Ages 13-18 (Secondary)</t>
  </si>
  <si>
    <t>Ages 19-24 (Youth)</t>
  </si>
  <si>
    <t>Ages 25-39</t>
  </si>
  <si>
    <t>Ages 40-59</t>
  </si>
  <si>
    <t>Ages Over 60 (Elderly)</t>
  </si>
  <si>
    <t>Number of Households</t>
  </si>
  <si>
    <t>Average Number  
of People per Household</t>
  </si>
  <si>
    <t>Distance to Nearest Market</t>
  </si>
  <si>
    <t>Average 
Household Income (USD)</t>
  </si>
  <si>
    <t>Race(s) / Tribe(s) 
/ Ethnic Group(s)</t>
  </si>
  <si>
    <t>Prevailing Religion(s)</t>
  </si>
  <si>
    <t>Native Language(s)</t>
  </si>
  <si>
    <t>PAP Methodology</t>
  </si>
  <si>
    <t>Target Group 
/ Respondents</t>
  </si>
  <si>
    <t>►</t>
  </si>
  <si>
    <t>Assessment Findings</t>
  </si>
  <si>
    <t>Provide a concise summary of the key findings from the PAP.  
- Major issues
- Community needs
- Existing resources
- Any notable patterns or gaps identified during the assessment</t>
  </si>
  <si>
    <t>Status</t>
  </si>
  <si>
    <t>Consideration</t>
  </si>
  <si>
    <t>Political Context</t>
  </si>
  <si>
    <t>Please provide information about the community situations based on the following categories: 
- Government structure 
- Political conflicts
- Legal system 
- Others</t>
  </si>
  <si>
    <t>Please provide an overview of the relevant contextual factors that GN should consider when implementing the project.</t>
  </si>
  <si>
    <t>Social Context</t>
  </si>
  <si>
    <t>- Decision-making structure
- Dominant religion (faith group) and their influence 
- Most vulnerable group 
- Others</t>
  </si>
  <si>
    <t>Economic Context</t>
  </si>
  <si>
    <t>- Major income source of households
- Income level of the community people 
- Others (e.g., technology, etc.)</t>
  </si>
  <si>
    <t>Environmental Context</t>
  </si>
  <si>
    <t>- Climate change issues in the community 
- Most frequent natural disasters 
- Natural resources
- Others (e.g., technology, etc.)</t>
  </si>
  <si>
    <t>3. Sectoral Approach_Child Protection</t>
  </si>
  <si>
    <t>Target Participants</t>
  </si>
  <si>
    <t>Children (Boy)</t>
  </si>
  <si>
    <t>Adults (Male)</t>
  </si>
  <si>
    <t>Children (Girl)</t>
  </si>
  <si>
    <t>Adults (Female)</t>
  </si>
  <si>
    <t>Key Statistics</t>
  </si>
  <si>
    <t>Birth Registration Rate</t>
  </si>
  <si>
    <t>Child Marriage Rate</t>
  </si>
  <si>
    <t>Median Age at First Marriage</t>
  </si>
  <si>
    <t>Adolescent Birth Rate</t>
  </si>
  <si>
    <t>Child Labor Rate</t>
  </si>
  <si>
    <t>Out of School Children Rate</t>
  </si>
  <si>
    <t>Prevalence of violence against child</t>
  </si>
  <si>
    <t>Existence of child abuse reporting and response system</t>
  </si>
  <si>
    <t>Remarks</t>
  </si>
  <si>
    <t>Data Source</t>
  </si>
  <si>
    <t>Please indicate the source of the statistics entered above, including the name of the source (e.g., national census, DHS/MICS, government or ministry report, GN community assessment), the reference year, and the geographic level of the data (national, provincial, district, or project community). Where figures come from different sources, please specify the source for each indicator.</t>
  </si>
  <si>
    <t>Situation Analysis</t>
  </si>
  <si>
    <t>Child Protection-related Status
in the Community</t>
  </si>
  <si>
    <t xml:space="preserve">
Please describe child protection related situations in the community and consider how they relate with the following sections.
- Child protection-related situations in the community that requires GN's intervention 
- Contextual properties of the community and cross-cutting issues that GN should consider when implementing a sectoral approach. </t>
  </si>
  <si>
    <t>Problem Tree</t>
  </si>
  <si>
    <t>Effect</t>
  </si>
  <si>
    <t xml:space="preserve"> 
Please put the image of the problem tree. (Insert &gt; Pictures &gt; This Device)</t>
  </si>
  <si>
    <t>Main Problem</t>
  </si>
  <si>
    <t>Causes</t>
  </si>
  <si>
    <t>Photos</t>
  </si>
  <si>
    <t xml:space="preserve">
Please include photos that clearly show the current problem situation in the community.</t>
  </si>
  <si>
    <t>Case Story</t>
  </si>
  <si>
    <t xml:space="preserve">
Please share a case story that illustrates the problem situation well.</t>
  </si>
  <si>
    <t>Objective Tree</t>
  </si>
  <si>
    <t>Ends</t>
  </si>
  <si>
    <t xml:space="preserve">
Please put the image of objective tree. (Insert &gt; Pictures &gt; This Device)</t>
  </si>
  <si>
    <t>Objectives</t>
  </si>
  <si>
    <t>Means</t>
  </si>
  <si>
    <t>Alignment with Country MLTSP</t>
  </si>
  <si>
    <t xml:space="preserve">Related 
Programmatic Direction  </t>
  </si>
  <si>
    <t>Strategic Objective</t>
  </si>
  <si>
    <t>Expected Outcome</t>
  </si>
  <si>
    <t>Related Outcome Indicator</t>
  </si>
  <si>
    <t>Project Result and M&amp;E Framework</t>
  </si>
  <si>
    <t>Cross-cutting Issue</t>
  </si>
  <si>
    <t>Log Frame</t>
  </si>
  <si>
    <t>M&amp;E Framework</t>
  </si>
  <si>
    <t>Objective</t>
  </si>
  <si>
    <t>Indicator</t>
  </si>
  <si>
    <t>Definition</t>
  </si>
  <si>
    <t>Unit</t>
  </si>
  <si>
    <t>Baseline</t>
  </si>
  <si>
    <t>Target</t>
  </si>
  <si>
    <t>Means of Verification</t>
  </si>
  <si>
    <t>Frequency of Data Collection</t>
  </si>
  <si>
    <t>Outcome</t>
  </si>
  <si>
    <t>1</t>
  </si>
  <si>
    <t>2</t>
  </si>
  <si>
    <t>3</t>
  </si>
  <si>
    <t>4</t>
  </si>
  <si>
    <t>5</t>
  </si>
  <si>
    <t>Output</t>
  </si>
  <si>
    <t>1.1</t>
  </si>
  <si>
    <t>1.2</t>
  </si>
  <si>
    <t>1.3</t>
  </si>
  <si>
    <t>2.1</t>
  </si>
  <si>
    <t>2.2</t>
  </si>
  <si>
    <t>2.3</t>
  </si>
  <si>
    <t>3.1</t>
  </si>
  <si>
    <t>3.2</t>
  </si>
  <si>
    <t>3.3</t>
  </si>
  <si>
    <t>4.1</t>
  </si>
  <si>
    <t>4.2</t>
  </si>
  <si>
    <t>4.3</t>
  </si>
  <si>
    <t>5.1</t>
  </si>
  <si>
    <t>5.2</t>
  </si>
  <si>
    <t>5.3</t>
  </si>
  <si>
    <t>Action Plan</t>
  </si>
  <si>
    <t>Major Activities</t>
  </si>
  <si>
    <t>Timeline</t>
  </si>
  <si>
    <t>Year 1</t>
  </si>
  <si>
    <t>Year 2</t>
  </si>
  <si>
    <t>Year 3</t>
  </si>
  <si>
    <t>Year 4</t>
  </si>
  <si>
    <t>Year 5</t>
  </si>
  <si>
    <t>1.1.1</t>
  </si>
  <si>
    <t>1.1.2</t>
  </si>
  <si>
    <t>1.2.1</t>
  </si>
  <si>
    <t>1.2.2</t>
  </si>
  <si>
    <t>1.3.1</t>
  </si>
  <si>
    <t>1.3.2</t>
  </si>
  <si>
    <t>2.1.1</t>
  </si>
  <si>
    <t>2.1.2</t>
  </si>
  <si>
    <t>2.2.1</t>
  </si>
  <si>
    <t>2.2.2</t>
  </si>
  <si>
    <t>2.3.1</t>
  </si>
  <si>
    <t>2.3.2</t>
  </si>
  <si>
    <t>3.1.1</t>
  </si>
  <si>
    <t>3.1.2</t>
  </si>
  <si>
    <t>3.2.1</t>
  </si>
  <si>
    <t>3.2.2</t>
  </si>
  <si>
    <t>3.3.1</t>
  </si>
  <si>
    <t>3.3.2</t>
  </si>
  <si>
    <t>4.1.1</t>
  </si>
  <si>
    <t>4.1.2</t>
  </si>
  <si>
    <t>4.2.1</t>
  </si>
  <si>
    <t>4.2.2</t>
  </si>
  <si>
    <t>4.3.1</t>
  </si>
  <si>
    <t>4.3.2</t>
  </si>
  <si>
    <t>5.1.1</t>
  </si>
  <si>
    <t>5.1.2</t>
  </si>
  <si>
    <t>5.2.1</t>
  </si>
  <si>
    <t>5.2.2</t>
  </si>
  <si>
    <t>5.3.1</t>
  </si>
  <si>
    <t>5.3.2</t>
  </si>
  <si>
    <t>Budget Plan</t>
  </si>
  <si>
    <t>Basis of Calculation</t>
  </si>
  <si>
    <t>Unit Cost ($)</t>
  </si>
  <si>
    <t>Quantity</t>
  </si>
  <si>
    <t>Total</t>
  </si>
  <si>
    <t>Y1</t>
  </si>
  <si>
    <t>Y2</t>
  </si>
  <si>
    <t>Y3</t>
  </si>
  <si>
    <t>Y4</t>
  </si>
  <si>
    <t>Y5</t>
  </si>
  <si>
    <t>Child Protection Total</t>
  </si>
  <si>
    <t>3. Sectoral Approach_Education</t>
  </si>
  <si>
    <t>School System</t>
  </si>
  <si>
    <t>Number of School</t>
  </si>
  <si>
    <t>Enrolment Rate</t>
  </si>
  <si>
    <t>Attendance Rate</t>
  </si>
  <si>
    <t>Completion Rate</t>
  </si>
  <si>
    <t>Dropout Rate</t>
  </si>
  <si>
    <t>Student-Teacher Ratio</t>
  </si>
  <si>
    <t>Age Group</t>
  </si>
  <si>
    <t>Literacy Rate</t>
  </si>
  <si>
    <t>Numeracy Rate</t>
  </si>
  <si>
    <t>Nursery / Pre-school</t>
  </si>
  <si>
    <t>Primary School</t>
  </si>
  <si>
    <t>Secondary School</t>
  </si>
  <si>
    <t>Adult</t>
  </si>
  <si>
    <t>Tertiary</t>
  </si>
  <si>
    <t>Education-related Status
in the Community</t>
  </si>
  <si>
    <t xml:space="preserve">
Please describe education-related situations within the community and consider how they relate with the following sections.
- Education-related situation in the community that requires GN's intervention 
- Contextual properties of the community and cross-cutting issues that GN should consider when implementing a sectoral approach </t>
  </si>
  <si>
    <t>Major Activity</t>
  </si>
  <si>
    <t>Education Total</t>
  </si>
  <si>
    <t>3. Sectoral Approach_Health and Well-being</t>
  </si>
  <si>
    <t>Health</t>
  </si>
  <si>
    <t>WASH</t>
  </si>
  <si>
    <t>Access Rate to the Basic Health Services</t>
  </si>
  <si>
    <t>No. of Equipped Health Facility</t>
  </si>
  <si>
    <t>Under 5 Mortality Rate</t>
  </si>
  <si>
    <t>Skilled Birth Attendance Rate</t>
  </si>
  <si>
    <t>Immunization Coverage Rate 
(Under 5)</t>
  </si>
  <si>
    <t>Leading Causes of Morbidity &amp; Mortality</t>
  </si>
  <si>
    <t>Access Rate to Safe Drinking Water</t>
  </si>
  <si>
    <t>Access Rate to Basic Sanitation</t>
  </si>
  <si>
    <t>Health &amp; Well-being-related Status
in the Community</t>
  </si>
  <si>
    <t xml:space="preserve">
Please describe the Health &amp; Well-being situation in the community, with consideration of the following:
-  Health &amp; Well-being conditions that require GN's intervention
-  Contextual factors and cross-cutting issues GN should consider when implementing a sectoral approach</t>
  </si>
  <si>
    <t>Health &amp; Well-being Total</t>
  </si>
  <si>
    <t>3. Sectoral Approach_Economic Empowerment</t>
  </si>
  <si>
    <t>Labor Force Participation Rate</t>
  </si>
  <si>
    <t>Unemployment Rate</t>
  </si>
  <si>
    <t>Average Monthly Income of Household</t>
  </si>
  <si>
    <t>Primary Source of Income</t>
  </si>
  <si>
    <t>Access Rate to Financial Services</t>
  </si>
  <si>
    <t>Economic Empowerment-related Status
in the Community</t>
  </si>
  <si>
    <t xml:space="preserve">
Please describe Economic Empowerment-related situations in the community and consider how they relate with the following sections.
- Economic Empowerment related situation in the community that requires GN's intervention 
- Contextual properties of the community and cross-cutting issues that GN should consider when implementing a sectoral approach. </t>
  </si>
  <si>
    <t>Economic Empowerment Total</t>
  </si>
  <si>
    <t>3. Sectoral Approach_Others</t>
  </si>
  <si>
    <t>Sector-specific Status in the Community</t>
  </si>
  <si>
    <t xml:space="preserve">
This section is for sectors not covered under Education, Health &amp; Well-being, Economic Empowerment, or Child Protection (e.g., Climate Change, Humanitarian Assistance). Clearly specify the sector being addressed (e.g., Climate Change, Humanitarian Assistance, Environment, Psychosocial Support, etc.) and describe the sector-specific situation in the community
- Key issues that require GN's intervention in this sector;
- Contextual properties of the community and cross-cutting issues that GN should consider when implementing a sectoral approach. </t>
  </si>
  <si>
    <t>Others Total</t>
  </si>
  <si>
    <t>Program Area Overview</t>
  </si>
  <si>
    <t>Possibility and Ground of 
Child Sponsorship Program</t>
  </si>
  <si>
    <t xml:space="preserve">
Please describe the possibility and ground of the child sponsorship program, considering the following points.
- Validity of area selection (socio-economic vulnerability; high concentration of children in need of protection)
- Scale of eligible children (at least 1,000 children)
- No overlap with other NGOs (area not currently covered by other NGO support)</t>
  </si>
  <si>
    <t>Selection Criteria for Children</t>
  </si>
  <si>
    <t xml:space="preserve">
Please describe the criteria used to select sponsored children, referring to the guidelines.
- Age range and priority given to vulnerable children
- Number of children selected per household
- Length of residence in the target area
- Children not already sponsored by GN or another organization</t>
  </si>
  <si>
    <t>Community Participation</t>
  </si>
  <si>
    <t xml:space="preserve">
Please describe the conditions that may help or hinder the program, and how the project will respond.
- Positive factors (e.g., cooperation of local government and schools, level of need in the community)
- Negative factors (e.g., travel time to households, language differences, early marriage) and planned mitigation measures</t>
  </si>
  <si>
    <t>Sponsored Children by Year</t>
  </si>
  <si>
    <t>Sponsor</t>
  </si>
  <si>
    <t>Existing</t>
  </si>
  <si>
    <t>New</t>
  </si>
  <si>
    <t>Drop-out</t>
  </si>
  <si>
    <t>Core Alliance Country</t>
  </si>
  <si>
    <t>Korea</t>
  </si>
  <si>
    <t>USA</t>
  </si>
  <si>
    <t>Japan</t>
  </si>
  <si>
    <t>Canada</t>
  </si>
  <si>
    <t>Australia</t>
  </si>
  <si>
    <t>UK</t>
  </si>
  <si>
    <t>Taiwan</t>
  </si>
  <si>
    <t>Sub total</t>
  </si>
  <si>
    <t>Local</t>
  </si>
  <si>
    <t>Five-Year Program Plan</t>
  </si>
  <si>
    <t>Child Sponsorship Program</t>
  </si>
  <si>
    <t>Classification</t>
  </si>
  <si>
    <t>Service</t>
  </si>
  <si>
    <t>Standard</t>
  </si>
  <si>
    <t>Unit cost ($)</t>
  </si>
  <si>
    <t>FY1</t>
  </si>
  <si>
    <t>FY2</t>
  </si>
  <si>
    <t>FY3</t>
  </si>
  <si>
    <t>FY4</t>
  </si>
  <si>
    <t>FY5</t>
  </si>
  <si>
    <t>Child Sponsorship Management</t>
  </si>
  <si>
    <t>Child Management</t>
  </si>
  <si>
    <t>All sponsored children</t>
  </si>
  <si>
    <t>3 times / year</t>
  </si>
  <si>
    <t>Child Protection</t>
  </si>
  <si>
    <t>Child Rights Campaign</t>
  </si>
  <si>
    <t>-</t>
  </si>
  <si>
    <t>Education</t>
  </si>
  <si>
    <t>Financial / Material Support</t>
  </si>
  <si>
    <t>Alternative (Non-formal)
Education Support</t>
  </si>
  <si>
    <t>All sponsored children not in school</t>
  </si>
  <si>
    <t>1 time / child / year</t>
  </si>
  <si>
    <t>Health &amp; Well-being</t>
  </si>
  <si>
    <t>Health Check-up</t>
  </si>
  <si>
    <t>Nutrition Support</t>
  </si>
  <si>
    <t>All sponsored children with severe malnutrition</t>
  </si>
  <si>
    <t>100% of target children</t>
  </si>
  <si>
    <t>WASH Education</t>
  </si>
  <si>
    <t>Others</t>
  </si>
  <si>
    <t>Monitoring &amp; Evaluation</t>
  </si>
  <si>
    <t>Frequency</t>
  </si>
  <si>
    <t>Method</t>
  </si>
  <si>
    <t>CIF</t>
  </si>
  <si>
    <t>APR</t>
  </si>
  <si>
    <t>ACL</t>
  </si>
  <si>
    <t>Risk Management</t>
  </si>
  <si>
    <t>Area</t>
  </si>
  <si>
    <t>Risk</t>
  </si>
  <si>
    <t>Mitigation Plan</t>
  </si>
  <si>
    <t>Submission Rate</t>
  </si>
  <si>
    <t>Error Rate</t>
  </si>
  <si>
    <t>Dropout</t>
  </si>
  <si>
    <t>CMS Management</t>
  </si>
  <si>
    <t>Document Management</t>
  </si>
  <si>
    <t>5. Project Management</t>
  </si>
  <si>
    <t>Network Management</t>
  </si>
  <si>
    <t>Community Engagement Plan</t>
  </si>
  <si>
    <t>Related indicator</t>
  </si>
  <si>
    <t>No. of Committees</t>
  </si>
  <si>
    <t>No. of Committee Members</t>
  </si>
  <si>
    <t>Related sector</t>
  </si>
  <si>
    <t>Key roles</t>
  </si>
  <si>
    <t>No. of Sub-Committees</t>
  </si>
  <si>
    <t>Committee Operation Plan</t>
  </si>
  <si>
    <t>Please describe the committee organization plan including the belows.: 
•  Membership criteria — who is eligible to join (e.g., religious leaders, village leaders, women leaders, youth representatives, school principals, village representative groups);
•  Representation &amp; inclusion — how gender balance and the participation of vulnerable or marginalised groups will be secured;
•  Selection process — how members are nominated or elected, and how transparency is ensured;
•  Term &amp; turnover — length of service and how replacement members will be recruited.</t>
  </si>
  <si>
    <t>No. of training sessions for committee or sub-committee members</t>
  </si>
  <si>
    <t>Please describe the capacity-building plan for committee and sub-committee members referring to the guidelines.</t>
  </si>
  <si>
    <t>Please describe the operation and participation plan for committees and sub-committees referring to the guidelines.</t>
  </si>
  <si>
    <t>No. of children’s, teens’ or youth clubs supported by GN</t>
  </si>
  <si>
    <t xml:space="preserve">Please describe the plan for children’s, teens’ or youth clubs supported by the project referring to the guidelines.
</t>
  </si>
  <si>
    <t>No. of members in children’s, teens’ or youth clubs supported by GN</t>
  </si>
  <si>
    <t>Stakeholder Engagement &amp; Collaboration Plan</t>
  </si>
  <si>
    <t>Stakeholder Group</t>
  </si>
  <si>
    <t>Attitude toward GN Projects</t>
  </si>
  <si>
    <t>Area of Technical Expertise</t>
  </si>
  <si>
    <t>Coverage in Project Area</t>
  </si>
  <si>
    <t>Partnership &amp; Networking Plan</t>
  </si>
  <si>
    <t xml:space="preserve">
Please provide the identified risks in the planned sectoral approach. </t>
  </si>
  <si>
    <t xml:space="preserve">
Please describe the plan on how you will mitigate the identified risks. </t>
  </si>
  <si>
    <t>Evaluation Plan</t>
  </si>
  <si>
    <t>Please describe the plan for assessing Outcome-level results across the project cycle, including:
- Evaluation approach — whether assessments will be conducted internally (e.g., pre/post surveys by project staff) or in partnership with an external agency (e.g., consultant engagement, development of standardized assessment tools);
- Review cycle — frequency and timing of Outcome indicator tracking throughout the project period;
- Other considerations — any additional elements relevant to the evaluation approach, such as data quality assurance measures, stakeholder involvement in the evaluation process, or plans for disseminating findings.</t>
  </si>
  <si>
    <t>Sustainability Plan</t>
  </si>
  <si>
    <t>Financial Sustainability</t>
  </si>
  <si>
    <t>Please describe how the project will secure continued funding and resources beyond the project period. This includes plans for local budget integration, strategies to reduce external donor dependency, and any income-generating mechanisms linked to the project.</t>
  </si>
  <si>
    <t>Transition &amp; Local Ownership Plan</t>
  </si>
  <si>
    <t>Please describe how project responsibilities and operations will be gradually transferred to local governments, community organizations, or other local stakeholders. Include a phased handover timeline, capacity-building measures for local actors, and how community ownership will be ensured to sustain project outcomes beyond GN's involvement.</t>
  </si>
  <si>
    <t>Budget Management Plan</t>
  </si>
  <si>
    <t>Income Plan</t>
  </si>
  <si>
    <t>Related Support Country</t>
  </si>
  <si>
    <t>Category / Project Year</t>
  </si>
  <si>
    <t>%</t>
  </si>
  <si>
    <t>GPC Subsidy</t>
  </si>
  <si>
    <t>Child Sponsorship Fund</t>
  </si>
  <si>
    <t>Project Sponsorship Fund</t>
  </si>
  <si>
    <t>Designated</t>
  </si>
  <si>
    <t>Government</t>
  </si>
  <si>
    <t>Local Income</t>
  </si>
  <si>
    <t>General (regular sponsorship)</t>
  </si>
  <si>
    <t>Designated Fund (irregular; one-time donation)</t>
  </si>
  <si>
    <t>Government Fund (national/local government)</t>
  </si>
  <si>
    <t>International Organization</t>
  </si>
  <si>
    <t>Gift in Kinds</t>
  </si>
  <si>
    <t>Income Total</t>
  </si>
  <si>
    <t>Expense Plan</t>
  </si>
  <si>
    <t>Project Implementation</t>
  </si>
  <si>
    <t>Economic Empowerment</t>
  </si>
  <si>
    <t>Project Management</t>
  </si>
  <si>
    <t>Research &amp; Development</t>
  </si>
  <si>
    <t>Fundraising</t>
  </si>
  <si>
    <t>Expense Total</t>
  </si>
  <si>
    <t>Difference</t>
  </si>
  <si>
    <t>HR Management</t>
  </si>
  <si>
    <t>Employee Name</t>
  </si>
  <si>
    <t>Department</t>
  </si>
  <si>
    <t>Position</t>
  </si>
  <si>
    <t>Year of Experience</t>
  </si>
  <si>
    <t>Responsibility</t>
  </si>
  <si>
    <t>Indicator Tracking Tool</t>
  </si>
  <si>
    <t>Sector</t>
  </si>
  <si>
    <t>Level</t>
  </si>
  <si>
    <t>No.</t>
  </si>
  <si>
    <t>Definition / Calculation Basis</t>
  </si>
  <si>
    <t>Q1</t>
  </si>
  <si>
    <t>Q2</t>
  </si>
  <si>
    <t>Q3</t>
  </si>
  <si>
    <t>Q4</t>
  </si>
  <si>
    <t>% 
Achieved</t>
  </si>
  <si>
    <t>Comments on Variance</t>
  </si>
  <si>
    <t>Child Protection_Outcome</t>
  </si>
  <si>
    <t>Child Protection_Output</t>
  </si>
  <si>
    <t>Education_Outcome</t>
  </si>
  <si>
    <t>Education_Output</t>
  </si>
  <si>
    <t>Health and Well-being_Outcome</t>
  </si>
  <si>
    <t>Health and Well-being_Output</t>
  </si>
  <si>
    <t>Economic Empowerment_Outcome</t>
  </si>
  <si>
    <t>Economic Empowerment_Output</t>
  </si>
  <si>
    <t>Climate Change_Outcome</t>
  </si>
  <si>
    <t>Climate Change_Output</t>
  </si>
  <si>
    <t>Humanitarian Assistance_Outcome</t>
  </si>
  <si>
    <t>Humanitarian Assistance_Output</t>
  </si>
  <si>
    <t>Education - Community Engagement_Outcome</t>
  </si>
  <si>
    <t>Education - Community Engagement_Output</t>
  </si>
  <si>
    <t>All sector - Outcome</t>
  </si>
  <si>
    <t>All Sector - Output</t>
  </si>
  <si>
    <t>Community Engagement</t>
  </si>
  <si>
    <t>% of children who received child protection services</t>
  </si>
  <si>
    <t>1.1. # of children who received child protection services</t>
  </si>
  <si>
    <t>School completion rate (primary and lower secondary school, separately) (Gender marker)</t>
  </si>
  <si>
    <t>2.1. # of children participating in GN education related programs (2.1.1.a + 2.1.2 + 2.1.3 - Duplicates)</t>
  </si>
  <si>
    <t>3.1. # of children and adults who received basic health services (3.1.3 + 3.1.4 + 3.1.6 - Duplicates)</t>
  </si>
  <si>
    <t>4.1. # of income generation groups</t>
  </si>
  <si>
    <t>% of people contributing to community-wide climate adaptation and mitigation activities</t>
  </si>
  <si>
    <t>5.1. # of people contributing to community-wide climate adaptation and mitigation activities (5.1.1 + 5.1.2 + 5.1.3 - Duplicates)</t>
  </si>
  <si>
    <t>6.1. # of people who participated in disaster risk reduction (DRR) or anticipatory action (AA) activities</t>
  </si>
  <si>
    <t>7.1. # of committees and sub-committees formally established and actively operating</t>
  </si>
  <si>
    <t>1.1.1. # of children with new birth registration</t>
  </si>
  <si>
    <t>% of children transitioning from primary to lower secondary education (Gender marker)</t>
  </si>
  <si>
    <t>2.1.1. # of schools having partnership with GN</t>
  </si>
  <si>
    <t>3.1.1. # of health facilities with essential infrastructure (basic amenities, infection prevention, trained staff, etc.)built, renovated and/or maintained</t>
  </si>
  <si>
    <t>4.2. # of members in income generation groups</t>
  </si>
  <si>
    <t>Total surface (hectare) under GN environment programmes</t>
  </si>
  <si>
    <t>5.1.1. # of people (farmers, fishers, traders or community members) using low-carbon/eco-friendly/energy-efficient devices provided by GN</t>
  </si>
  <si>
    <t>6.2. # of people who benefited from emergency relief programmes, including natural disasters, conflicts and climate crisis (6.2.1 + 6.2.2 + 6.2.3 + 6.2.5 + 6.2.6 - Duplicates)</t>
  </si>
  <si>
    <t>7.1.1. # of committees</t>
  </si>
  <si>
    <t>1.1.2. # of children at risk who were referred to specialised services by GN</t>
  </si>
  <si>
    <t>School attendance rate (SDG 4.1.2; secondary data)</t>
  </si>
  <si>
    <t>2.1.1.a. # of students who enrolled in GN partnership schools</t>
  </si>
  <si>
    <t>3.1.2. # of health facilities built, renovated and/or maintained</t>
  </si>
  <si>
    <t>4.3. # of beneficiaries from microfinance programs</t>
  </si>
  <si>
    <t>5.1.2. # of households that established and regularly practice GN-supported renewable resource management activities</t>
  </si>
  <si>
    <t>6.2.1. # of people who received food assistance</t>
  </si>
  <si>
    <t>7.1.2. # of sub-committees</t>
  </si>
  <si>
    <t>1.2. # of people participating in child rights programs (1.2.2 + 1.2.3 + 1.2.4  - Duplicates)</t>
  </si>
  <si>
    <t>Primary school attendance rate</t>
  </si>
  <si>
    <t>2.1.1.b. # of students who graduated from GN partnership schools</t>
  </si>
  <si>
    <t>3.1.3. # of people receiving health check-ups</t>
  </si>
  <si>
    <t>4.4. # of trainings conducted to build the capacities of members of social economy organizations (4.4.1 + 4.4.2 - Duplicates)</t>
  </si>
  <si>
    <t>5.1.3. # of farms, fisheries or forest-dependent households adopting GN-supported sustainable production practices</t>
  </si>
  <si>
    <t>6.2.2. # of people who received non-food item (NFI) kits</t>
  </si>
  <si>
    <t>7.2. # of active members of committees and sub-committees (Gender marker)</t>
  </si>
  <si>
    <t>1.2.1. # of children’s, teens’ or youth clubs supported by GN</t>
  </si>
  <si>
    <t>Lower secondary school attendance rate</t>
  </si>
  <si>
    <t>2.1.2. # of children who received financial and/or material support to access education</t>
  </si>
  <si>
    <t>3.1.4. # of people who received health-related items, such as deworming tablets and LLINs</t>
  </si>
  <si>
    <t>4.4.1. # of participants in biz cooperative training &amp; capacity building</t>
  </si>
  <si>
    <t>5.1.4. # of people who completed GN-supported climate awareness, environmental protection campaigns or education/training activities</t>
  </si>
  <si>
    <t>6.2.3. # of people who received cash and/or voucher assistance</t>
  </si>
  <si>
    <t>7.2.1. # of active members of committees and sub-committees (Gender marker)</t>
  </si>
  <si>
    <t>1.2.2. # of members in children’s, teens’ or youth clubs supported by GN</t>
  </si>
  <si>
    <t>2.1.3. # of children who participated in GN extracurricular classes or non-formal education for out-of-school children</t>
  </si>
  <si>
    <t>3.1.5. # of community health workers (CHWs)</t>
  </si>
  <si>
    <t>4.4.2. # of participants completing financial literacy training</t>
  </si>
  <si>
    <t>5.2. # of people (farmers, fishers, traders or community members) who received GN-supported training for in climate-adaptive and environmentally friendly livelihood practice</t>
  </si>
  <si>
    <t>6.2.4. # of households provided with shelters</t>
  </si>
  <si>
    <t>7.3. # of GN volunteers engaged in programme activities</t>
  </si>
  <si>
    <t>1.2.3. # of children and adults who have participated in child rights campaign activities</t>
  </si>
  <si>
    <t>2.1.4. # of teachers and educators who have received capacity building training</t>
  </si>
  <si>
    <t>3.1.6. # of people participating in basic health education</t>
  </si>
  <si>
    <t>4.5. # of social enterprises</t>
  </si>
  <si>
    <t>5.3. # of advocacy activities that aim to improve government policy for climate mitigation/adaptation and environmental protection</t>
  </si>
  <si>
    <t>6.2.5. # of people who received psychosocial support (PSS) activities</t>
  </si>
  <si>
    <t>7.4. # of training sessions for committee or sub-committee members</t>
  </si>
  <si>
    <t>1.2.4. # of adults trained on child rights, child protection and safeguarding</t>
  </si>
  <si>
    <t>2.2. # of people with improved quality life skills (2.2.1 + 2.2.2 + 2.2.3 – Duplicates)</t>
  </si>
  <si>
    <t>3.1.7. # of community health committees</t>
  </si>
  <si>
    <t>5.4. # of people who participated in GN environment and climate change advoacy</t>
  </si>
  <si>
    <t>6.2.6. # of people who received gender-based violence (GBV) related support and/or case management</t>
  </si>
  <si>
    <t>7.5. # of meetings held by committees and sub-committees</t>
  </si>
  <si>
    <t>1.3. # of community- and/or child-led initiatives that influence child-related decisions at the community, regional or national level</t>
  </si>
  <si>
    <t>2.2.1. # of people who participated in literacy and numeracy education</t>
  </si>
  <si>
    <t>3.1.8. # of members in community health committees</t>
  </si>
  <si>
    <t>5.5. # of formal partnership agreements established with local stakeholders to coordinate and jointly implement climate resilience and environmental sustainability activities</t>
  </si>
  <si>
    <t>6.3. # of participants in refugees/internally displaced persons (IDP) support programs in protracted situations (6.3.1 + 6.3.2 + 6.3.3 + 6.3.4 - Duplicates)</t>
  </si>
  <si>
    <t>7.6. # of activities decided by community committees and sub-committees in the following year's GN Plan of Action (POA)</t>
  </si>
  <si>
    <t>Health &amp; WASH</t>
  </si>
  <si>
    <t>1.4. # of activities that aimed at strengthening child rights or child protection-related laws, policies or budgets at a regional or national or international level</t>
  </si>
  <si>
    <t>2.2.2. # of people participating in vocational education and training programs</t>
  </si>
  <si>
    <t>3.1.9. # of staff, care workers, trainers, health workers, or community health workers trained in basic health support training</t>
  </si>
  <si>
    <t>6.3.1. # of people who participated in refugee/host community livelihoods programs</t>
  </si>
  <si>
    <t>7.7. Financial value of community contribution (volunteer labour, in-kind, cash, land) to project implementation</t>
  </si>
  <si>
    <t>1.5. # of people who participated in GN Child Protection advoacy</t>
  </si>
  <si>
    <t>2.2.3. # of people participating in ICT education programs (Gender marker)</t>
  </si>
  <si>
    <t>3.1.10. # of participants who received mental health support programs</t>
  </si>
  <si>
    <t>6.3.2. # of people participated in peacebuilding or social cohesion activities</t>
  </si>
  <si>
    <t>7.8. # of local or national policies or regulations or laws initiated or influenced by Good Neighbors</t>
  </si>
  <si>
    <t>2.3. # of people participating in GN's global citizenship education program</t>
  </si>
  <si>
    <t>3.2. # of mothers and children under the age of 5 with improved access to maternal and child health (MCH) services (3.2.1 + 3.2.2 + 3.2.3 + 3.2.4 - Duplicates)</t>
  </si>
  <si>
    <t>6.3.3. # of people (households) who benefitted from rehabilitation projects</t>
  </si>
  <si>
    <t>7.9. # of people who participated in GN gender equality and women's rights advoacy</t>
  </si>
  <si>
    <t>Environment &amp; Climate Change</t>
  </si>
  <si>
    <t>2.4. # of people who participated in GN Education advoacy</t>
  </si>
  <si>
    <t>3.2.1. # of mothers who received antenatal and postnatal services</t>
  </si>
  <si>
    <t>6.3.4. # of people who participated in GN emergency relief &amp; disaster risk reduction advoacy</t>
  </si>
  <si>
    <t>3.2.2. # of mothers who were attended by skilled health personnel during their live birth</t>
  </si>
  <si>
    <t>3.2.3. # of children under 5 who received mandatory vaccinations</t>
  </si>
  <si>
    <t>3.2.4. # of people who received sexual and reproductive health education</t>
  </si>
  <si>
    <t>3.3. # of children and adults who received nutritional (including vitamins and other supplements) and food support</t>
  </si>
  <si>
    <t>3.4. # of people with access to improved water sources</t>
  </si>
  <si>
    <t>3.4.1. # of WASH facilities newly constructed or renovated</t>
  </si>
  <si>
    <t>3.4.2. # of community WASH committee</t>
  </si>
  <si>
    <t>3.4.3. # of members in community WASH committees</t>
  </si>
  <si>
    <t>3.5. # of people with improved sanitation services and hygiene practices (3.5.2 + 3.5.3 - Duplicates)</t>
  </si>
  <si>
    <t>3.5.1. # of sanitation facilities newly constructed or renovated</t>
  </si>
  <si>
    <t>3.5.2. # of people with access to improved sanitation facilities</t>
  </si>
  <si>
    <t>3.5.3. # of people participating in WASH promotion programs</t>
  </si>
  <si>
    <t>3.5.4. # of people who participated in GN health and WASH advoacy</t>
  </si>
  <si>
    <t>Income Generation</t>
  </si>
  <si>
    <t>Humanitarian Assistance</t>
  </si>
  <si>
    <t>Community Partnership &amp; Advocacy</t>
  </si>
  <si>
    <t>_01000_Child_Sponsorship_Mgt.</t>
  </si>
  <si>
    <t>_02000_Education</t>
  </si>
  <si>
    <t>_03000_Health</t>
  </si>
  <si>
    <t>_05000_Income_Generation</t>
  </si>
  <si>
    <t>_06000_Partnership_Network</t>
  </si>
  <si>
    <t>_07000_Advocacy</t>
  </si>
  <si>
    <t>_08000_Environment</t>
  </si>
  <si>
    <t>_09000_Humanitarian_Assistance</t>
  </si>
  <si>
    <t>_80000_R_and_D</t>
  </si>
  <si>
    <t>_90000_Fundraising_Program</t>
  </si>
  <si>
    <t>_95000_Project_Management</t>
  </si>
  <si>
    <t>_99000_Office_Management</t>
  </si>
  <si>
    <t>01010 New Child Finding</t>
  </si>
  <si>
    <t>02010 Early Childhood Education</t>
  </si>
  <si>
    <t>03010 Feeding Program</t>
  </si>
  <si>
    <t>05010 Agriculture Development</t>
  </si>
  <si>
    <t>06010 Organizing/Facilitating CDC</t>
  </si>
  <si>
    <t>07010 Campaign &amp; Advocacy</t>
  </si>
  <si>
    <t>08010 Housing Condition Improvement</t>
  </si>
  <si>
    <t>09010 Water Sanitation &amp; Hygiene Promotion</t>
  </si>
  <si>
    <t>81000 Assessment</t>
  </si>
  <si>
    <t>90000 Fundraising Program</t>
  </si>
  <si>
    <t>95000 Project Management</t>
  </si>
  <si>
    <t>99000 Office Management</t>
  </si>
  <si>
    <t>01020 Child Case Management</t>
  </si>
  <si>
    <t>02020 Primary Education</t>
  </si>
  <si>
    <t>03020 Food Distribution</t>
  </si>
  <si>
    <t>05020 Livestock &amp; Fishery</t>
  </si>
  <si>
    <t>06020 Volunteers</t>
  </si>
  <si>
    <t>07020 Policy Proposal</t>
  </si>
  <si>
    <t>08020 Energy Generation &amp; Supply</t>
  </si>
  <si>
    <t>09020 Food Aid &amp; Nutrition</t>
  </si>
  <si>
    <t>82000 Monitoring &amp; Evaluation</t>
  </si>
  <si>
    <t>01030 Gift Delivery</t>
  </si>
  <si>
    <t>02030 Secondary Education</t>
  </si>
  <si>
    <t>03030 Health Check up</t>
  </si>
  <si>
    <t>05040 Microfinance</t>
  </si>
  <si>
    <t>06030 Local Leader Cultivation</t>
  </si>
  <si>
    <t>08030 Forestry Development</t>
  </si>
  <si>
    <t>09030 Non-food Item &amp; Shelter</t>
  </si>
  <si>
    <t>83000 Pilot Project</t>
  </si>
  <si>
    <t>02040 Post Secondary Education</t>
  </si>
  <si>
    <t>03040 [Prevention] Vaccination</t>
  </si>
  <si>
    <t>05050 Small &amp; Medium Size Enterprise</t>
  </si>
  <si>
    <t>06040 Community Center</t>
  </si>
  <si>
    <t>08040 Civil infrastructure</t>
  </si>
  <si>
    <t>09040 Medical Service &amp; PTSD</t>
  </si>
  <si>
    <t>84000 Conference, Workshop &amp; Training</t>
  </si>
  <si>
    <t>02050 Lifelong Education</t>
  </si>
  <si>
    <t>03050 [Prevention] Disease Control</t>
  </si>
  <si>
    <t>06050 Network Building</t>
  </si>
  <si>
    <t>09050 Network &amp; Training</t>
  </si>
  <si>
    <t>02060 Teacher Training</t>
  </si>
  <si>
    <t>03060 [Treatment] Medical Case Management</t>
  </si>
  <si>
    <t>09060 Reconstruction &amp; Rehabilitation</t>
  </si>
  <si>
    <t>03070 Health System Strengthning</t>
  </si>
  <si>
    <t>03080 Health Facility Support</t>
  </si>
  <si>
    <t>03090 STD Control/Reproductive Health Care&amp;Family Planning</t>
  </si>
  <si>
    <t>03100 Health Education</t>
  </si>
  <si>
    <t>04010 Basic Drinking Water</t>
  </si>
  <si>
    <t>04020 Basic Sanitation</t>
  </si>
  <si>
    <t>04030 WASH Quality Management</t>
  </si>
  <si>
    <t>04040 Water Resource Infra</t>
  </si>
  <si>
    <t>04050 WASH Network</t>
  </si>
  <si>
    <t>04060 WASH Education</t>
  </si>
  <si>
    <t>Community Development Project</t>
  </si>
  <si>
    <t>Commencement</t>
  </si>
  <si>
    <t>Sectoral Development Project</t>
  </si>
  <si>
    <t>Redesign</t>
  </si>
  <si>
    <t>CDP Evaluation Report (Redesign Only)</t>
  </si>
  <si>
    <t>Basic Information</t>
  </si>
  <si>
    <t>Target area name / GPS</t>
  </si>
  <si>
    <t>Program Period</t>
  </si>
  <si>
    <t>MM-YYYY ~ MM-YYYY (Duration)</t>
  </si>
  <si>
    <t>Participants</t>
  </si>
  <si>
    <t>Log Frame and Achievement</t>
  </si>
  <si>
    <t>Achievement</t>
  </si>
  <si>
    <t>Achievement Rate</t>
  </si>
  <si>
    <t>Lessons Learned</t>
  </si>
  <si>
    <t>Please Select Project Sector</t>
  </si>
  <si>
    <t>Basic Information of the Community</t>
  </si>
  <si>
    <t>Needs Assessment Result *Commencement Only</t>
  </si>
  <si>
    <t>Project Overview</t>
  </si>
  <si>
    <t>Project Scope</t>
  </si>
  <si>
    <t xml:space="preserve">Project Implementation Plan </t>
  </si>
  <si>
    <t xml:space="preserve">Budget Management Plan </t>
  </si>
  <si>
    <t xml:space="preserve">Human Resource Management Plan </t>
  </si>
  <si>
    <t xml:space="preserve">Network Management Plan </t>
    <phoneticPr fontId="39" type="noConversion"/>
  </si>
  <si>
    <t>Program Area Overview</t>
    <phoneticPr fontId="39" type="noConversion"/>
  </si>
  <si>
    <t xml:space="preserve">Sponsorship Program Operation Plan </t>
    <phoneticPr fontId="39" type="noConversion"/>
  </si>
  <si>
    <t>Risk Management Plan</t>
    <phoneticPr fontId="39" type="noConversion"/>
  </si>
  <si>
    <t>Positive and Negative Factors</t>
    <phoneticPr fontId="39" type="noConversion"/>
  </si>
  <si>
    <t>No. of meetings held by committees and sub-committees</t>
    <phoneticPr fontId="39" type="noConversion"/>
  </si>
  <si>
    <t>Name of Committee</t>
    <phoneticPr fontId="39" type="noConversion"/>
  </si>
  <si>
    <t>% of NEETs (Not in Education, Employment, or Training) (Gender marker)</t>
  </si>
  <si>
    <t>% of people who have completed upper secondary schools or above</t>
  </si>
  <si>
    <t>Under-five mortality rate (per 1000 live births) (SDG 3.2.1) (Gender marker)</t>
  </si>
  <si>
    <t>(Well-being) Improvement in subjective well-being</t>
  </si>
  <si>
    <t>% of communities with community health or WASH committees in operation</t>
  </si>
  <si>
    <t>% increase in household income of social economic organization members</t>
  </si>
  <si>
    <t>% of participants who became employed or self-employed after joining social economic organizations (Member survey) (Gender marker)</t>
  </si>
  <si>
    <t>% of social enterprises that turned into a surplus</t>
  </si>
  <si>
    <t>Annual revenue and sales growth rate (%) of cooperatives</t>
  </si>
  <si>
    <t>Annual revenue and sales growth rate (%) of enterprises</t>
  </si>
  <si>
    <t>Microfinance repayment rate</t>
  </si>
  <si>
    <t xml:space="preserve">Presence of local/national strategies for disaster management and disaster risk reduction </t>
  </si>
  <si>
    <t>Presence of local/national strategies for disaster management and disaster risk reduction</t>
  </si>
  <si>
    <t>Climate Change</t>
    <phoneticPr fontId="39" type="noConversion"/>
  </si>
  <si>
    <t xml:space="preserve">
Please describe the level of participation and cooperation expected from the community.
- Roles of sponsored children (CIF, APR, ACL, health check-up, letter writing) and participation in community project activities
- Roles of parents / guardians (supporting the child's participation, using the support for its intended purpose, joining the parents association and volunteer network, reporting changes in family circumstances)
- Cooperation of local government, schools and community leaders</t>
    <phoneticPr fontId="3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</si>
</sst>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176" formatCode="_(* #,##0_);_(* \(#,##0\);_(* \-??_);_(@_)"/>
    <numFmt numFmtId="177" formatCode="0.0%"/>
    <numFmt numFmtId="178" formatCode="_-[$$-409]* #,##0_ ;_-[$$-409]* \-#,##0\ ;_-[$$-409]* \-??_ ;_-@_ "/>
    <numFmt numFmtId="179" formatCode="_-[$$-409]* #,##0_ ;_-[$$-409]* \-#,##0\ ;_-[$$-409]* &quot;-&quot;??_ ;_-@_ "/>
    <numFmt numFmtId="180" formatCode="[$-409]d/mmm/yyyy;@"/>
    <numFmt numFmtId="181" formatCode="mmm\-yyyy"/>
    <numFmt numFmtId="182" formatCode="0_);[Red]\(0\)"/>
    <numFmt numFmtId="183" formatCode="_(* #,##0.00_);_(* \(#,##0.00\);_(* \-??_);_(@_)"/>
    <numFmt numFmtId="184" formatCode="_(\$* #,##0_);_(\$* \(#,##0\);_(\$* \-_);_(@_)"/>
  </numFmts>
  <fonts count="54">
    <font>
      <sz val="11"/>
      <color theme="1"/>
      <name val="맑은 고딕"/>
      <family val="2"/>
      <charset val="1"/>
    </font>
    <font>
      <sz val="11"/>
      <name val="돋움"/>
      <family val="3"/>
      <charset val="129"/>
    </font>
    <font>
      <sz val="11"/>
      <color theme="1"/>
      <name val="맑은 고딕"/>
      <family val="3"/>
      <charset val="129"/>
    </font>
    <font>
      <sz val="11"/>
      <color theme="1"/>
      <name val="Times New Roman"/>
      <family val="1"/>
      <charset val="1"/>
    </font>
    <font>
      <sz val="11"/>
      <name val="Times New Roman"/>
      <family val="1"/>
      <charset val="1"/>
    </font>
    <font>
      <b/>
      <sz val="20"/>
      <color theme="0"/>
      <name val="Times New Roman"/>
      <family val="1"/>
      <charset val="1"/>
    </font>
    <font>
      <b/>
      <sz val="26"/>
      <name val="Times New Roman"/>
      <family val="1"/>
      <charset val="1"/>
    </font>
    <font>
      <sz val="13"/>
      <color rgb="FF000000"/>
      <name val="Times New Roman"/>
      <family val="1"/>
      <charset val="1"/>
    </font>
    <font>
      <b/>
      <sz val="14"/>
      <color theme="1"/>
      <name val="Times New Roman"/>
      <family val="1"/>
      <charset val="1"/>
    </font>
    <font>
      <sz val="13"/>
      <color theme="1"/>
      <name val="Times New Roman"/>
      <family val="1"/>
      <charset val="1"/>
    </font>
    <font>
      <i/>
      <sz val="12"/>
      <color theme="1" tint="0.49989318521683401"/>
      <name val="Times New Roman"/>
      <family val="1"/>
      <charset val="1"/>
    </font>
    <font>
      <i/>
      <sz val="13"/>
      <color theme="1" tint="0.49989318521683401"/>
      <name val="Times New Roman"/>
      <family val="1"/>
      <charset val="1"/>
    </font>
    <font>
      <b/>
      <sz val="11"/>
      <color theme="1"/>
      <name val="Times New Roman"/>
      <family val="1"/>
      <charset val="1"/>
    </font>
    <font>
      <b/>
      <sz val="15"/>
      <color theme="0"/>
      <name val="Times New Roman"/>
      <family val="1"/>
      <charset val="1"/>
    </font>
    <font>
      <sz val="11"/>
      <color theme="2" tint="-0.499984740745262"/>
      <name val="Times New Roman"/>
      <family val="1"/>
      <charset val="1"/>
    </font>
    <font>
      <b/>
      <sz val="11"/>
      <color theme="0"/>
      <name val="Times New Roman"/>
      <family val="1"/>
      <charset val="1"/>
    </font>
    <font>
      <sz val="12"/>
      <color theme="1"/>
      <name val="Times New Roman"/>
      <family val="1"/>
      <charset val="1"/>
    </font>
    <font>
      <sz val="11"/>
      <color theme="1"/>
      <name val="times new roman "/>
      <charset val="1"/>
    </font>
    <font>
      <sz val="11"/>
      <color rgb="FF000000"/>
      <name val="Times New Roman"/>
      <family val="1"/>
      <charset val="1"/>
    </font>
    <font>
      <sz val="11"/>
      <color rgb="FF757171"/>
      <name val="Times New Roman"/>
      <family val="1"/>
      <charset val="1"/>
    </font>
    <font>
      <sz val="11"/>
      <color theme="1"/>
      <name val="Times new romna"/>
      <family val="1"/>
      <charset val="1"/>
    </font>
    <font>
      <b/>
      <sz val="15"/>
      <color theme="0"/>
      <name val="Times new romna"/>
      <charset val="1"/>
    </font>
    <font>
      <b/>
      <sz val="11"/>
      <color theme="0"/>
      <name val="Times new romna"/>
      <family val="1"/>
      <charset val="1"/>
    </font>
    <font>
      <sz val="11"/>
      <color theme="0" tint="-0.499984740745262"/>
      <name val="Times new romna"/>
      <family val="1"/>
      <charset val="1"/>
    </font>
    <font>
      <b/>
      <sz val="11"/>
      <color theme="1"/>
      <name val="Times new romna"/>
      <family val="1"/>
      <charset val="1"/>
    </font>
    <font>
      <sz val="11"/>
      <color theme="2" tint="-0.499984740745262"/>
      <name val="Times new romna"/>
      <family val="1"/>
      <charset val="1"/>
    </font>
    <font>
      <b/>
      <sz val="11"/>
      <color theme="0"/>
      <name val="Times new romna"/>
      <charset val="1"/>
    </font>
    <font>
      <b/>
      <sz val="11"/>
      <color theme="1"/>
      <name val="Times new romna"/>
      <charset val="1"/>
    </font>
    <font>
      <sz val="11"/>
      <color rgb="FF000000"/>
      <name val="Times new romna"/>
      <family val="1"/>
      <charset val="1"/>
    </font>
    <font>
      <b/>
      <sz val="11"/>
      <color rgb="FFFFFFFF"/>
      <name val="Times New Roman"/>
      <family val="1"/>
      <charset val="1"/>
    </font>
    <font>
      <b/>
      <sz val="11"/>
      <color rgb="FF000000"/>
      <name val="Times New Roman"/>
      <family val="1"/>
      <charset val="1"/>
    </font>
    <font>
      <sz val="10"/>
      <color theme="1"/>
      <name val="Calibri"/>
      <family val="2"/>
      <charset val="1"/>
    </font>
    <font>
      <b/>
      <sz val="11"/>
      <color theme="1"/>
      <name val="맑은 고딕"/>
      <charset val="1"/>
    </font>
    <font>
      <b/>
      <sz val="11"/>
      <color theme="1"/>
      <name val="맑은 고딕"/>
      <family val="2"/>
      <charset val="1"/>
    </font>
    <font>
      <b/>
      <sz val="10"/>
      <color rgb="FF1F3864"/>
      <name val="Calibri"/>
      <family val="2"/>
      <charset val="1"/>
    </font>
    <font>
      <sz val="10"/>
      <color rgb="FF000000"/>
      <name val="Calibri"/>
      <family val="2"/>
      <charset val="1"/>
    </font>
    <font>
      <sz val="10"/>
      <color theme="1"/>
      <name val="Arial"/>
      <family val="2"/>
      <charset val="1"/>
    </font>
    <font>
      <sz val="11"/>
      <color theme="2" tint="-0.249977111117893"/>
      <name val="Times New Roman"/>
      <family val="1"/>
      <charset val="1"/>
    </font>
    <font>
      <sz val="11"/>
      <color theme="1"/>
      <name val="맑은 고딕"/>
      <family val="2"/>
      <charset val="1"/>
    </font>
    <font>
      <sz val="8"/>
      <name val="BatangChe"/>
      <family val="3"/>
      <charset val="129"/>
    </font>
    <font>
      <sz val="11"/>
      <color theme="1"/>
      <name val="Times new romna"/>
      <family val="1"/>
      <charset val="129"/>
    </font>
    <font>
      <sz val="11"/>
      <color theme="1"/>
      <name val="Times New Roman"/>
      <family val="1"/>
    </font>
    <font>
      <sz val="11"/>
      <color rgb="FF757171"/>
      <name val="Times new romna"/>
    </font>
    <font>
      <sz val="11"/>
      <color rgb="FF757171"/>
      <name val="Times New Roman"/>
      <family val="1"/>
    </font>
    <font>
      <b/>
      <sz val="11"/>
      <color theme="1"/>
      <name val="Times new romna"/>
    </font>
    <font>
      <b/>
      <sz val="11"/>
      <color theme="1"/>
      <name val="Times new romna"/>
      <family val="1"/>
    </font>
    <font>
      <b/>
      <sz val="11"/>
      <color theme="1"/>
      <name val="Times New Roman"/>
      <family val="1"/>
    </font>
    <font>
      <b/>
      <sz val="11"/>
      <color rgb="FFFFFFFF"/>
      <name val="Times New Roman"/>
      <family val="1"/>
    </font>
    <font>
      <b/>
      <sz val="15"/>
      <color rgb="FFFFFFFF"/>
      <name val="Times New Roman"/>
      <family val="1"/>
    </font>
    <font>
      <b/>
      <sz val="11"/>
      <color rgb="FF000000"/>
      <name val="Times New Roman"/>
      <family val="1"/>
    </font>
    <font>
      <sz val="11"/>
      <color theme="1" tint="0.499984740745262"/>
      <name val="Times New Roman"/>
      <family val="1"/>
    </font>
    <font>
      <sz val="10"/>
      <color theme="1"/>
      <name val="Calibri"/>
      <family val="2"/>
    </font>
    <font>
      <b/>
      <sz val="10"/>
      <color rgb="FF1F3864"/>
      <name val="Calibri"/>
      <family val="2"/>
    </font>
    <font>
      <sz val="10"/>
      <color rgb="FF000000"/>
      <name val="Calibri"/>
      <family val="2"/>
    </font>
  </fonts>
  <fills count="28">
    <fill>
      <patternFill patternType="none"/>
    </fill>
    <fill>
      <patternFill patternType="gray125"/>
    </fill>
    <fill>
      <patternFill patternType="solid">
        <fgColor theme="9" tint="-0.249977111117893"/>
        <bgColor rgb="FF757171"/>
      </patternFill>
    </fill>
    <fill>
      <patternFill patternType="solid">
        <fgColor theme="0" tint="-0.249977111117893"/>
        <bgColor rgb="FFAFABAB"/>
      </patternFill>
    </fill>
    <fill>
      <patternFill patternType="solid">
        <fgColor theme="9" tint="0.79989013336588644"/>
        <bgColor rgb="FFE2EFDA"/>
      </patternFill>
    </fill>
    <fill>
      <patternFill patternType="solid">
        <fgColor theme="0" tint="-4.9989318521683403E-2"/>
        <bgColor rgb="FFEFF6EA"/>
      </patternFill>
    </fill>
    <fill>
      <patternFill patternType="solid">
        <fgColor theme="9" tint="-0.499984740745262"/>
        <bgColor rgb="FF333300"/>
      </patternFill>
    </fill>
    <fill>
      <patternFill patternType="solid">
        <fgColor theme="2"/>
        <bgColor rgb="FFE2EFDA"/>
      </patternFill>
    </fill>
    <fill>
      <patternFill patternType="solid">
        <fgColor theme="0"/>
        <bgColor rgb="FFF2F2F2"/>
      </patternFill>
    </fill>
    <fill>
      <patternFill patternType="solid">
        <fgColor theme="9"/>
        <bgColor rgb="FF548235"/>
      </patternFill>
    </fill>
    <fill>
      <patternFill patternType="solid">
        <fgColor theme="9" tint="0.59987182226020086"/>
        <bgColor rgb="FFD9E1F2"/>
      </patternFill>
    </fill>
    <fill>
      <patternFill patternType="solid">
        <fgColor rgb="FFEFF6EA"/>
        <bgColor rgb="FFF2F2F2"/>
      </patternFill>
    </fill>
    <fill>
      <patternFill patternType="solid">
        <fgColor rgb="FFE2EFDA"/>
        <bgColor rgb="FFE2F0D9"/>
      </patternFill>
    </fill>
    <fill>
      <patternFill patternType="solid">
        <fgColor rgb="FFD9E1F2"/>
        <bgColor rgb="FFE7E6E6"/>
      </patternFill>
    </fill>
    <fill>
      <patternFill patternType="solid">
        <fgColor theme="0" tint="-4.9989318521683403E-2"/>
        <bgColor rgb="FFD9E1F2"/>
      </patternFill>
    </fill>
    <fill>
      <patternFill patternType="solid">
        <fgColor theme="0"/>
        <bgColor rgb="FFD9E1F2"/>
      </patternFill>
    </fill>
    <fill>
      <patternFill patternType="solid">
        <fgColor theme="0" tint="-4.9989318521683403E-2"/>
        <bgColor rgb="FFF2F2F2"/>
      </patternFill>
    </fill>
    <fill>
      <patternFill patternType="solid">
        <fgColor rgb="FFFFEBEB"/>
        <bgColor rgb="FFF2F2F2"/>
      </patternFill>
    </fill>
    <fill>
      <patternFill patternType="solid">
        <fgColor theme="0" tint="-4.9989318521683403E-2"/>
        <bgColor indexed="64"/>
      </patternFill>
    </fill>
    <fill>
      <patternFill patternType="solid">
        <fgColor theme="0"/>
        <bgColor indexed="64"/>
      </patternFill>
    </fill>
    <fill>
      <patternFill patternType="solid">
        <fgColor theme="9" tint="0.59999389629810485"/>
        <bgColor indexed="64"/>
      </patternFill>
    </fill>
    <fill>
      <patternFill patternType="solid">
        <fgColor rgb="FF548235"/>
        <bgColor indexed="64"/>
      </patternFill>
    </fill>
    <fill>
      <patternFill patternType="solid">
        <fgColor rgb="FF375623"/>
        <bgColor indexed="64"/>
      </patternFill>
    </fill>
    <fill>
      <patternFill patternType="solid">
        <fgColor rgb="FFC6E0B4"/>
        <bgColor indexed="64"/>
      </patternFill>
    </fill>
    <fill>
      <patternFill patternType="solid">
        <fgColor rgb="FFE7E6E6"/>
        <bgColor indexed="64"/>
      </patternFill>
    </fill>
    <fill>
      <patternFill patternType="solid">
        <fgColor rgb="FFFFFFFF"/>
        <bgColor indexed="64"/>
      </patternFill>
    </fill>
    <fill>
      <patternFill patternType="solid">
        <fgColor theme="0" tint="-0.14999847407452621"/>
        <bgColor indexed="64"/>
      </patternFill>
    </fill>
    <fill>
      <patternFill patternType="solid">
        <fgColor rgb="FFD9E1F2"/>
        <bgColor indexed="64"/>
      </patternFill>
    </fill>
  </fills>
  <borders count="4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rgb="FFBFBFBF"/>
      </right>
      <top style="thin">
        <color auto="1"/>
      </top>
      <bottom style="thin">
        <color auto="1"/>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style="thin">
        <color auto="1"/>
      </top>
      <bottom style="thin">
        <color rgb="FFBFBFBF"/>
      </bottom>
      <diagonal/>
    </border>
    <border>
      <left style="thin">
        <color rgb="FFBFBFBF"/>
      </left>
      <right style="thin">
        <color rgb="FFBFBFBF"/>
      </right>
      <top style="thin">
        <color rgb="FFBFBFBF"/>
      </top>
      <bottom/>
      <diagonal/>
    </border>
    <border>
      <left/>
      <right/>
      <top style="thin">
        <color rgb="FFBFBFBF"/>
      </top>
      <bottom style="thin">
        <color rgb="FFBFBFBF"/>
      </bottom>
      <diagonal/>
    </border>
    <border>
      <left style="thin">
        <color rgb="FFBFBFBF"/>
      </left>
      <right/>
      <top style="thin">
        <color rgb="FFBFBFBF"/>
      </top>
      <bottom/>
      <diagonal/>
    </border>
    <border>
      <left style="thin">
        <color rgb="FFBFBFBF"/>
      </left>
      <right/>
      <top/>
      <bottom style="thin">
        <color auto="1"/>
      </bottom>
      <diagonal/>
    </border>
    <border>
      <left style="thin">
        <color rgb="FFBFBFBF"/>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7">
    <xf numFmtId="0" fontId="0" fillId="0" borderId="0"/>
    <xf numFmtId="183" fontId="38" fillId="0" borderId="0"/>
    <xf numFmtId="9" fontId="38" fillId="0" borderId="0"/>
    <xf numFmtId="0" fontId="1" fillId="0" borderId="0"/>
    <xf numFmtId="0" fontId="2" fillId="0" borderId="0">
      <alignment vertical="center"/>
    </xf>
    <xf numFmtId="184" fontId="38" fillId="0" borderId="0">
      <alignment vertical="center"/>
    </xf>
    <xf numFmtId="41" fontId="38" fillId="0" borderId="0">
      <alignment vertical="center"/>
    </xf>
  </cellStyleXfs>
  <cellXfs count="376">
    <xf numFmtId="0" fontId="0" fillId="0" borderId="0" xfId="0"/>
    <xf numFmtId="0" fontId="4" fillId="0" borderId="0" xfId="3" applyFont="1"/>
    <xf numFmtId="0" fontId="6" fillId="0" borderId="0" xfId="3" applyFont="1" applyAlignment="1">
      <alignment horizontal="center" vertical="center" wrapText="1"/>
    </xf>
    <xf numFmtId="0" fontId="7" fillId="0" borderId="0" xfId="3" applyFont="1" applyAlignment="1">
      <alignment vertical="center"/>
    </xf>
    <xf numFmtId="0" fontId="4" fillId="0" borderId="0" xfId="3" applyFont="1" applyAlignment="1">
      <alignment horizontal="left" indent="1"/>
    </xf>
    <xf numFmtId="0" fontId="3" fillId="5" borderId="2" xfId="0" applyFont="1" applyFill="1" applyBorder="1" applyAlignment="1">
      <alignment vertical="center"/>
    </xf>
    <xf numFmtId="0" fontId="3" fillId="5" borderId="3" xfId="0" applyFont="1" applyFill="1" applyBorder="1" applyAlignment="1">
      <alignment vertical="center"/>
    </xf>
    <xf numFmtId="0" fontId="3" fillId="5" borderId="4" xfId="0" applyFont="1" applyFill="1" applyBorder="1" applyAlignment="1">
      <alignment vertical="center"/>
    </xf>
    <xf numFmtId="0" fontId="3" fillId="5" borderId="6" xfId="0" applyFont="1" applyFill="1" applyBorder="1" applyAlignment="1">
      <alignment vertical="center"/>
    </xf>
    <xf numFmtId="0" fontId="3" fillId="5" borderId="7" xfId="0" applyFont="1" applyFill="1" applyBorder="1" applyAlignment="1">
      <alignment vertical="center"/>
    </xf>
    <xf numFmtId="0" fontId="3" fillId="5" borderId="8" xfId="0" applyFont="1" applyFill="1" applyBorder="1" applyAlignment="1">
      <alignment vertical="center"/>
    </xf>
    <xf numFmtId="0" fontId="3" fillId="5" borderId="9" xfId="0" applyFont="1" applyFill="1" applyBorder="1" applyAlignment="1">
      <alignment vertical="center"/>
    </xf>
    <xf numFmtId="0" fontId="3" fillId="5" borderId="10" xfId="0" applyFont="1" applyFill="1" applyBorder="1" applyAlignment="1">
      <alignment vertical="center"/>
    </xf>
    <xf numFmtId="0" fontId="3" fillId="0" borderId="0" xfId="0" applyFont="1" applyAlignment="1">
      <alignment horizontal="center" vertical="center" wrapText="1"/>
    </xf>
    <xf numFmtId="0" fontId="3" fillId="7" borderId="1" xfId="0" applyFont="1" applyFill="1" applyBorder="1" applyAlignment="1">
      <alignment horizontal="left" vertical="center" wrapText="1" indent="1"/>
    </xf>
    <xf numFmtId="0" fontId="4" fillId="7" borderId="1" xfId="0" applyFont="1" applyFill="1" applyBorder="1" applyAlignment="1">
      <alignment horizontal="left" vertical="center" wrapText="1" indent="1"/>
    </xf>
    <xf numFmtId="0" fontId="3" fillId="0" borderId="3" xfId="0" applyFont="1" applyBorder="1" applyAlignment="1">
      <alignment horizontal="center" vertical="center" wrapText="1"/>
    </xf>
    <xf numFmtId="0" fontId="3" fillId="0" borderId="0" xfId="0" applyFont="1" applyAlignment="1">
      <alignment vertical="center" wrapText="1"/>
    </xf>
    <xf numFmtId="0" fontId="3" fillId="7" borderId="14" xfId="0" applyFont="1" applyFill="1" applyBorder="1" applyAlignment="1">
      <alignment horizontal="center" vertical="center"/>
    </xf>
    <xf numFmtId="2" fontId="12" fillId="8" borderId="1" xfId="0" applyNumberFormat="1" applyFont="1" applyFill="1" applyBorder="1" applyAlignment="1">
      <alignment horizontal="center" vertical="center"/>
    </xf>
    <xf numFmtId="49" fontId="12" fillId="8" borderId="1" xfId="0" applyNumberFormat="1" applyFont="1" applyFill="1" applyBorder="1" applyAlignment="1">
      <alignment horizontal="center" vertical="center"/>
    </xf>
    <xf numFmtId="0" fontId="4" fillId="7"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3" fillId="0" borderId="0" xfId="0" applyFont="1" applyAlignment="1">
      <alignment horizontal="center" vertical="center"/>
    </xf>
    <xf numFmtId="0" fontId="3" fillId="7" borderId="1" xfId="0" applyFont="1" applyFill="1" applyBorder="1" applyAlignment="1" applyProtection="1">
      <alignment horizontal="left" vertical="center" indent="1"/>
      <protection locked="0"/>
    </xf>
    <xf numFmtId="9" fontId="4" fillId="8" borderId="1" xfId="2" applyFont="1" applyFill="1" applyBorder="1" applyAlignment="1" applyProtection="1">
      <alignment horizontal="center" vertical="center"/>
      <protection locked="0"/>
    </xf>
    <xf numFmtId="49" fontId="3" fillId="0" borderId="1" xfId="0" applyNumberFormat="1" applyFont="1" applyBorder="1" applyAlignment="1">
      <alignment horizontal="center" vertical="center"/>
    </xf>
    <xf numFmtId="49" fontId="3" fillId="0" borderId="1" xfId="0" applyNumberFormat="1" applyFont="1" applyBorder="1" applyAlignment="1" applyProtection="1">
      <alignment horizontal="center" vertical="center"/>
      <protection locked="0"/>
    </xf>
    <xf numFmtId="0" fontId="3" fillId="0" borderId="11" xfId="0" applyFont="1" applyBorder="1" applyAlignment="1" applyProtection="1">
      <alignment horizontal="center" vertical="center"/>
      <protection locked="0"/>
    </xf>
    <xf numFmtId="0" fontId="3" fillId="7" borderId="13" xfId="0" applyFont="1" applyFill="1" applyBorder="1" applyAlignment="1">
      <alignment horizontal="left" vertical="center" indent="1"/>
    </xf>
    <xf numFmtId="0" fontId="3" fillId="7" borderId="11" xfId="0" applyFont="1" applyFill="1" applyBorder="1" applyAlignment="1">
      <alignment vertical="center"/>
    </xf>
    <xf numFmtId="0" fontId="20" fillId="0" borderId="0" xfId="0" applyFont="1" applyProtection="1">
      <protection locked="0"/>
    </xf>
    <xf numFmtId="0" fontId="20" fillId="0" borderId="13" xfId="0" applyFont="1" applyBorder="1" applyAlignment="1" applyProtection="1">
      <alignment horizontal="left"/>
      <protection locked="0"/>
    </xf>
    <xf numFmtId="0" fontId="20" fillId="0" borderId="15" xfId="0" applyFont="1" applyBorder="1" applyAlignment="1" applyProtection="1">
      <alignment horizontal="left"/>
      <protection locked="0"/>
    </xf>
    <xf numFmtId="0" fontId="20" fillId="0" borderId="11" xfId="0" applyFont="1" applyBorder="1" applyAlignment="1" applyProtection="1">
      <alignment horizontal="left"/>
      <protection locked="0"/>
    </xf>
    <xf numFmtId="0" fontId="24" fillId="5" borderId="1" xfId="0" applyFont="1" applyFill="1" applyBorder="1" applyAlignment="1" applyProtection="1">
      <alignment horizontal="center"/>
      <protection locked="0"/>
    </xf>
    <xf numFmtId="0" fontId="20" fillId="5" borderId="1" xfId="0" applyFont="1" applyFill="1" applyBorder="1" applyAlignment="1" applyProtection="1">
      <alignment horizontal="left" vertical="center" indent="1"/>
      <protection locked="0"/>
    </xf>
    <xf numFmtId="0" fontId="30" fillId="12" borderId="1" xfId="0" applyFont="1" applyFill="1" applyBorder="1" applyAlignment="1">
      <alignment horizontal="center" vertical="center" wrapText="1"/>
    </xf>
    <xf numFmtId="9" fontId="30" fillId="12" borderId="1" xfId="2" applyFont="1" applyFill="1" applyBorder="1" applyAlignment="1">
      <alignment horizontal="center" vertical="center" wrapText="1"/>
    </xf>
    <xf numFmtId="0" fontId="31" fillId="0" borderId="17" xfId="0" applyFont="1" applyBorder="1" applyAlignment="1">
      <alignment vertical="top" wrapText="1"/>
    </xf>
    <xf numFmtId="0" fontId="18" fillId="8" borderId="1" xfId="0" applyFont="1" applyFill="1" applyBorder="1" applyAlignment="1">
      <alignment vertical="center" wrapText="1"/>
    </xf>
    <xf numFmtId="9" fontId="18" fillId="8" borderId="1" xfId="2" applyFont="1" applyFill="1" applyBorder="1" applyAlignment="1">
      <alignment horizontal="center" vertical="center" wrapText="1"/>
    </xf>
    <xf numFmtId="0" fontId="31" fillId="0" borderId="18" xfId="0" applyFont="1" applyBorder="1" applyAlignment="1">
      <alignment vertical="top" wrapText="1"/>
    </xf>
    <xf numFmtId="0" fontId="31" fillId="0" borderId="19" xfId="0" applyFont="1" applyBorder="1" applyAlignment="1">
      <alignment vertical="top" wrapText="1"/>
    </xf>
    <xf numFmtId="0" fontId="31" fillId="0" borderId="20" xfId="0" applyFont="1" applyBorder="1" applyAlignment="1">
      <alignment vertical="top" wrapText="1"/>
    </xf>
    <xf numFmtId="0" fontId="32" fillId="0" borderId="18" xfId="0" applyFont="1" applyBorder="1" applyAlignment="1">
      <alignment horizontal="center" vertical="center" wrapText="1"/>
    </xf>
    <xf numFmtId="0" fontId="33" fillId="0" borderId="18" xfId="0" applyFont="1" applyBorder="1" applyAlignment="1">
      <alignment horizontal="center" vertical="center" wrapText="1"/>
    </xf>
    <xf numFmtId="0" fontId="32" fillId="0" borderId="21" xfId="0" applyFont="1" applyBorder="1" applyAlignment="1">
      <alignment horizontal="center" vertical="center" wrapText="1"/>
    </xf>
    <xf numFmtId="0" fontId="31" fillId="8" borderId="22" xfId="0" applyFont="1" applyFill="1" applyBorder="1" applyAlignment="1">
      <alignment vertical="top" wrapText="1"/>
    </xf>
    <xf numFmtId="0" fontId="31" fillId="8" borderId="20" xfId="0" applyFont="1" applyFill="1" applyBorder="1" applyAlignment="1">
      <alignment vertical="top" wrapText="1"/>
    </xf>
    <xf numFmtId="0" fontId="34" fillId="13" borderId="18" xfId="0" applyFont="1" applyFill="1" applyBorder="1"/>
    <xf numFmtId="0" fontId="35" fillId="8" borderId="18" xfId="0" applyFont="1" applyFill="1" applyBorder="1"/>
    <xf numFmtId="0" fontId="31" fillId="0" borderId="23" xfId="0" applyFont="1" applyBorder="1" applyAlignment="1">
      <alignment vertical="top" wrapText="1"/>
    </xf>
    <xf numFmtId="0" fontId="31" fillId="0" borderId="24" xfId="0" applyFont="1" applyBorder="1" applyAlignment="1">
      <alignment vertical="top" wrapText="1"/>
    </xf>
    <xf numFmtId="0" fontId="31" fillId="8" borderId="25" xfId="0" applyFont="1" applyFill="1" applyBorder="1" applyAlignment="1">
      <alignment vertical="top" wrapText="1"/>
    </xf>
    <xf numFmtId="0" fontId="0" fillId="0" borderId="12" xfId="0" applyBorder="1"/>
    <xf numFmtId="0" fontId="36" fillId="0" borderId="0" xfId="0" applyFont="1" applyAlignment="1">
      <alignment horizontal="left" vertical="center"/>
    </xf>
    <xf numFmtId="0" fontId="36" fillId="0" borderId="0" xfId="0" applyFont="1" applyAlignment="1">
      <alignment vertical="center"/>
    </xf>
    <xf numFmtId="9" fontId="3" fillId="0" borderId="1" xfId="2" applyFont="1" applyBorder="1" applyAlignment="1">
      <alignment horizontal="center" vertical="center"/>
    </xf>
    <xf numFmtId="0" fontId="31" fillId="0" borderId="1" xfId="0" applyFont="1" applyBorder="1" applyAlignment="1">
      <alignment vertical="top" wrapText="1"/>
    </xf>
    <xf numFmtId="0" fontId="0" fillId="0" borderId="1" xfId="0" applyBorder="1" applyAlignment="1">
      <alignment vertical="center"/>
    </xf>
    <xf numFmtId="0" fontId="3" fillId="0" borderId="13" xfId="0" applyFont="1" applyBorder="1" applyAlignment="1">
      <alignment horizontal="center" vertical="center" wrapText="1"/>
    </xf>
    <xf numFmtId="0" fontId="33" fillId="0" borderId="21" xfId="0" applyFont="1" applyBorder="1" applyAlignment="1">
      <alignment horizontal="center" vertical="center" wrapText="1"/>
    </xf>
    <xf numFmtId="0" fontId="20" fillId="14" borderId="1" xfId="0" applyFont="1" applyFill="1" applyBorder="1" applyAlignment="1" applyProtection="1">
      <alignment horizontal="center" vertical="center"/>
      <protection locked="0"/>
    </xf>
    <xf numFmtId="0" fontId="40" fillId="15" borderId="1" xfId="0" applyFont="1" applyFill="1" applyBorder="1" applyAlignment="1" applyProtection="1">
      <alignment vertical="center"/>
      <protection locked="0"/>
    </xf>
    <xf numFmtId="0" fontId="20" fillId="15" borderId="1" xfId="0" applyFont="1" applyFill="1" applyBorder="1" applyAlignment="1" applyProtection="1">
      <alignment vertical="center"/>
      <protection locked="0"/>
    </xf>
    <xf numFmtId="9" fontId="4" fillId="8" borderId="13" xfId="2" applyFont="1" applyFill="1" applyBorder="1" applyAlignment="1" applyProtection="1">
      <alignment horizontal="center" vertical="center"/>
      <protection locked="0"/>
    </xf>
    <xf numFmtId="0" fontId="40" fillId="15" borderId="1" xfId="0" applyFont="1" applyFill="1" applyBorder="1" applyAlignment="1" applyProtection="1">
      <alignment horizontal="center" vertical="center"/>
      <protection locked="0"/>
    </xf>
    <xf numFmtId="0" fontId="20" fillId="15" borderId="1" xfId="0" applyFont="1" applyFill="1" applyBorder="1" applyAlignment="1" applyProtection="1">
      <alignment horizontal="center" vertical="center"/>
      <protection locked="0"/>
    </xf>
    <xf numFmtId="0" fontId="41" fillId="19" borderId="0" xfId="0" applyFont="1" applyFill="1"/>
    <xf numFmtId="0" fontId="41" fillId="19" borderId="28" xfId="0" applyFont="1" applyFill="1" applyBorder="1" applyAlignment="1">
      <alignment horizontal="center" vertical="center" wrapText="1"/>
    </xf>
    <xf numFmtId="0" fontId="3" fillId="0" borderId="0" xfId="0" applyFont="1" applyAlignment="1">
      <alignment vertical="center"/>
    </xf>
    <xf numFmtId="0" fontId="8" fillId="3" borderId="1" xfId="3" applyFont="1" applyFill="1" applyBorder="1" applyAlignment="1">
      <alignment horizontal="left" vertical="center" indent="2"/>
    </xf>
    <xf numFmtId="0" fontId="3" fillId="0" borderId="0" xfId="0" applyFont="1" applyAlignment="1">
      <alignment wrapText="1"/>
    </xf>
    <xf numFmtId="0" fontId="3" fillId="0" borderId="0" xfId="0" applyFont="1"/>
    <xf numFmtId="0" fontId="12" fillId="7"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4" borderId="12" xfId="0" applyFont="1" applyFill="1" applyBorder="1" applyAlignment="1">
      <alignment horizontal="center" vertical="center" wrapText="1"/>
    </xf>
    <xf numFmtId="0" fontId="3" fillId="7" borderId="1" xfId="0" applyFont="1" applyFill="1" applyBorder="1" applyAlignment="1">
      <alignment horizontal="center" vertical="center"/>
    </xf>
    <xf numFmtId="2" fontId="3" fillId="8" borderId="1" xfId="0" applyNumberFormat="1" applyFont="1" applyFill="1" applyBorder="1" applyAlignment="1">
      <alignment horizontal="center" vertical="center"/>
    </xf>
    <xf numFmtId="0" fontId="3" fillId="0" borderId="1" xfId="0" applyFont="1" applyBorder="1" applyAlignment="1">
      <alignment horizontal="left" vertical="center" indent="1"/>
    </xf>
    <xf numFmtId="0" fontId="0" fillId="0" borderId="1" xfId="0" applyBorder="1"/>
    <xf numFmtId="0" fontId="3" fillId="0" borderId="1" xfId="0" applyFont="1" applyBorder="1" applyAlignment="1">
      <alignment horizontal="center" vertical="center"/>
    </xf>
    <xf numFmtId="0" fontId="3" fillId="0" borderId="1" xfId="0" applyFont="1" applyBorder="1" applyAlignment="1">
      <alignment vertical="center"/>
    </xf>
    <xf numFmtId="0" fontId="3" fillId="4" borderId="1" xfId="0" applyFont="1" applyFill="1" applyBorder="1" applyAlignment="1">
      <alignment horizontal="center" vertical="center"/>
    </xf>
    <xf numFmtId="0" fontId="3" fillId="7" borderId="1" xfId="0" applyFont="1" applyFill="1" applyBorder="1" applyAlignment="1">
      <alignment horizontal="center" vertical="center" wrapText="1"/>
    </xf>
    <xf numFmtId="0" fontId="3" fillId="7" borderId="1" xfId="0" applyFont="1" applyFill="1" applyBorder="1" applyAlignment="1">
      <alignment horizontal="left" vertical="center" indent="1"/>
    </xf>
    <xf numFmtId="0" fontId="3" fillId="0" borderId="1" xfId="0" applyFont="1" applyBorder="1" applyAlignment="1">
      <alignment horizontal="left" vertical="center" indent="2"/>
    </xf>
    <xf numFmtId="0" fontId="3" fillId="7" borderId="1" xfId="0" applyFont="1" applyFill="1" applyBorder="1" applyAlignment="1" applyProtection="1">
      <alignment horizontal="center" vertical="center"/>
      <protection locked="0"/>
    </xf>
    <xf numFmtId="0" fontId="3" fillId="0" borderId="1" xfId="0" applyFont="1" applyBorder="1" applyAlignment="1" applyProtection="1">
      <alignment horizontal="left" vertical="center" indent="1"/>
      <protection locked="0"/>
    </xf>
    <xf numFmtId="0" fontId="3" fillId="0" borderId="1" xfId="0" applyFont="1" applyBorder="1" applyAlignment="1" applyProtection="1">
      <alignment horizontal="center" vertical="center"/>
      <protection locked="0"/>
    </xf>
    <xf numFmtId="0" fontId="3" fillId="0" borderId="1" xfId="0" applyFont="1" applyBorder="1" applyAlignment="1" applyProtection="1">
      <alignment vertical="center"/>
      <protection locked="0"/>
    </xf>
    <xf numFmtId="0" fontId="3" fillId="4" borderId="1" xfId="0" applyFont="1" applyFill="1" applyBorder="1" applyAlignment="1" applyProtection="1">
      <alignment horizontal="center" vertical="center"/>
      <protection locked="0"/>
    </xf>
    <xf numFmtId="0" fontId="12" fillId="7" borderId="1" xfId="0" applyFont="1" applyFill="1" applyBorder="1" applyAlignment="1" applyProtection="1">
      <alignment horizontal="center" vertical="center"/>
      <protection locked="0"/>
    </xf>
    <xf numFmtId="9" fontId="4" fillId="17" borderId="1" xfId="2" applyFont="1" applyFill="1" applyBorder="1" applyAlignment="1" applyProtection="1">
      <alignment horizontal="center" vertical="center"/>
      <protection locked="0"/>
    </xf>
    <xf numFmtId="9" fontId="4" fillId="8" borderId="12" xfId="2" applyFont="1" applyFill="1" applyBorder="1" applyAlignment="1" applyProtection="1">
      <alignment horizontal="center" vertical="center"/>
      <protection locked="0"/>
    </xf>
    <xf numFmtId="9" fontId="4" fillId="8" borderId="14" xfId="2" applyFont="1" applyFill="1" applyBorder="1" applyAlignment="1" applyProtection="1">
      <alignment horizontal="center" vertical="center"/>
      <protection locked="0"/>
    </xf>
    <xf numFmtId="0" fontId="4" fillId="8" borderId="1" xfId="2" applyNumberFormat="1" applyFont="1" applyFill="1" applyBorder="1" applyAlignment="1" applyProtection="1">
      <alignment horizontal="center" vertical="center"/>
      <protection locked="0"/>
    </xf>
    <xf numFmtId="0" fontId="4" fillId="17" borderId="1" xfId="2" applyNumberFormat="1" applyFont="1" applyFill="1" applyBorder="1" applyAlignment="1" applyProtection="1">
      <alignment horizontal="center" vertical="center"/>
      <protection locked="0"/>
    </xf>
    <xf numFmtId="0" fontId="41" fillId="24" borderId="28" xfId="0" applyFont="1" applyFill="1" applyBorder="1" applyAlignment="1">
      <alignment horizontal="center" vertical="center" wrapText="1"/>
    </xf>
    <xf numFmtId="0" fontId="49" fillId="24" borderId="28" xfId="0" applyFont="1" applyFill="1" applyBorder="1" applyAlignment="1">
      <alignment horizontal="center" vertical="center" wrapText="1"/>
    </xf>
    <xf numFmtId="0" fontId="41" fillId="25" borderId="28" xfId="0" applyFont="1" applyFill="1" applyBorder="1" applyAlignment="1">
      <alignment horizontal="center" vertical="center" wrapText="1"/>
    </xf>
    <xf numFmtId="0" fontId="49" fillId="24" borderId="28" xfId="0" applyFont="1" applyFill="1" applyBorder="1" applyAlignment="1">
      <alignment horizontal="center" vertical="center"/>
    </xf>
    <xf numFmtId="0" fontId="20" fillId="0" borderId="1" xfId="0" applyFont="1" applyBorder="1" applyProtection="1">
      <protection locked="0"/>
    </xf>
    <xf numFmtId="0" fontId="20" fillId="5" borderId="1" xfId="0" applyFont="1" applyFill="1" applyBorder="1" applyAlignment="1" applyProtection="1">
      <alignment horizontal="center"/>
      <protection locked="0"/>
    </xf>
    <xf numFmtId="0" fontId="20" fillId="0" borderId="1" xfId="0" applyFont="1" applyBorder="1" applyAlignment="1" applyProtection="1">
      <alignment horizontal="left" vertical="center" indent="1"/>
      <protection locked="0"/>
    </xf>
    <xf numFmtId="0" fontId="20" fillId="7" borderId="1" xfId="0" applyFont="1" applyFill="1" applyBorder="1" applyAlignment="1" applyProtection="1">
      <alignment horizontal="center" vertical="center" wrapText="1"/>
      <protection locked="0"/>
    </xf>
    <xf numFmtId="0" fontId="20" fillId="7" borderId="1" xfId="0" applyFont="1" applyFill="1" applyBorder="1" applyAlignment="1" applyProtection="1">
      <alignment horizontal="center" vertical="center"/>
      <protection locked="0"/>
    </xf>
    <xf numFmtId="0" fontId="0" fillId="0" borderId="0" xfId="0"/>
    <xf numFmtId="0" fontId="0" fillId="0" borderId="0" xfId="0" applyAlignment="1">
      <alignment vertical="center"/>
    </xf>
    <xf numFmtId="9" fontId="0" fillId="0" borderId="0" xfId="2" applyFont="1"/>
    <xf numFmtId="0" fontId="18" fillId="8" borderId="1" xfId="0" applyFont="1" applyFill="1" applyBorder="1" applyAlignment="1">
      <alignment horizontal="center" vertical="center" wrapText="1"/>
    </xf>
    <xf numFmtId="0" fontId="49" fillId="18" borderId="28" xfId="0" applyFont="1" applyFill="1" applyBorder="1" applyAlignment="1">
      <alignment horizontal="center" vertical="center"/>
    </xf>
    <xf numFmtId="0" fontId="0" fillId="0" borderId="11" xfId="0" applyBorder="1" applyProtection="1">
      <protection locked="0"/>
    </xf>
    <xf numFmtId="0" fontId="20" fillId="15" borderId="13" xfId="0" applyFont="1" applyFill="1" applyBorder="1" applyAlignment="1" applyProtection="1">
      <alignment horizontal="left" vertical="center" indent="1"/>
      <protection locked="0"/>
    </xf>
    <xf numFmtId="0" fontId="20" fillId="15" borderId="11" xfId="0" applyFont="1" applyFill="1" applyBorder="1" applyAlignment="1" applyProtection="1">
      <alignment horizontal="left" vertical="center" indent="1"/>
      <protection locked="0"/>
    </xf>
    <xf numFmtId="0" fontId="41" fillId="15" borderId="1" xfId="0" applyFont="1" applyFill="1" applyBorder="1" applyAlignment="1" applyProtection="1">
      <alignment vertical="center"/>
      <protection locked="0"/>
    </xf>
    <xf numFmtId="176" fontId="3" fillId="8" borderId="1" xfId="1" applyNumberFormat="1" applyFont="1" applyFill="1" applyBorder="1" applyAlignment="1">
      <alignment horizontal="center" vertical="center"/>
    </xf>
    <xf numFmtId="177" fontId="4" fillId="5" borderId="1" xfId="2" applyNumberFormat="1" applyFont="1" applyFill="1" applyBorder="1" applyAlignment="1">
      <alignment horizontal="center" vertical="center" wrapText="1"/>
    </xf>
    <xf numFmtId="177" fontId="4" fillId="8" borderId="1" xfId="2" applyNumberFormat="1" applyFont="1" applyFill="1" applyBorder="1" applyAlignment="1">
      <alignment horizontal="center" vertical="center"/>
    </xf>
    <xf numFmtId="177" fontId="4" fillId="8" borderId="12" xfId="2" applyNumberFormat="1" applyFont="1" applyFill="1" applyBorder="1" applyAlignment="1">
      <alignment horizontal="center" vertical="center"/>
    </xf>
    <xf numFmtId="178" fontId="3" fillId="0" borderId="1" xfId="0" applyNumberFormat="1" applyFont="1" applyBorder="1" applyAlignment="1">
      <alignment vertical="center"/>
    </xf>
    <xf numFmtId="178" fontId="3" fillId="5" borderId="1" xfId="0" applyNumberFormat="1" applyFont="1" applyFill="1" applyBorder="1" applyAlignment="1">
      <alignment vertical="center"/>
    </xf>
    <xf numFmtId="178" fontId="3" fillId="0" borderId="1" xfId="0" applyNumberFormat="1" applyFont="1" applyBorder="1" applyAlignment="1" applyProtection="1">
      <alignment horizontal="center" vertical="center"/>
      <protection locked="0"/>
    </xf>
    <xf numFmtId="178" fontId="3" fillId="0" borderId="1" xfId="0" applyNumberFormat="1" applyFont="1" applyBorder="1" applyAlignment="1" applyProtection="1">
      <alignment vertical="center"/>
      <protection locked="0"/>
    </xf>
    <xf numFmtId="178" fontId="12" fillId="7" borderId="1" xfId="0" applyNumberFormat="1" applyFont="1" applyFill="1" applyBorder="1" applyAlignment="1">
      <alignment vertical="center"/>
    </xf>
    <xf numFmtId="177" fontId="4" fillId="5" borderId="1" xfId="2" applyNumberFormat="1" applyFont="1" applyFill="1" applyBorder="1" applyAlignment="1" applyProtection="1">
      <alignment horizontal="center" vertical="center" wrapText="1"/>
      <protection locked="0"/>
    </xf>
    <xf numFmtId="178" fontId="3" fillId="0" borderId="1" xfId="5" applyNumberFormat="1" applyFont="1" applyBorder="1" applyAlignment="1" applyProtection="1">
      <alignment vertical="center"/>
      <protection locked="0"/>
    </xf>
    <xf numFmtId="178" fontId="12" fillId="5" borderId="1" xfId="0" applyNumberFormat="1" applyFont="1" applyFill="1" applyBorder="1" applyAlignment="1">
      <alignment vertical="center"/>
    </xf>
    <xf numFmtId="177" fontId="4" fillId="5" borderId="15" xfId="2" applyNumberFormat="1" applyFont="1" applyFill="1" applyBorder="1" applyAlignment="1">
      <alignment vertical="center" wrapText="1"/>
    </xf>
    <xf numFmtId="177" fontId="4" fillId="8" borderId="1" xfId="2" applyNumberFormat="1" applyFont="1" applyFill="1" applyBorder="1" applyAlignment="1">
      <alignment vertical="center"/>
    </xf>
    <xf numFmtId="178" fontId="3" fillId="0" borderId="1" xfId="0" applyNumberFormat="1" applyFont="1" applyBorder="1" applyAlignment="1">
      <alignment horizontal="center" vertical="center"/>
    </xf>
    <xf numFmtId="41" fontId="41" fillId="0" borderId="28" xfId="6" applyFont="1" applyBorder="1" applyAlignment="1"/>
    <xf numFmtId="41" fontId="41" fillId="0" borderId="28" xfId="0" applyNumberFormat="1" applyFont="1" applyBorder="1"/>
    <xf numFmtId="41" fontId="46" fillId="26" borderId="28" xfId="6" applyFont="1" applyFill="1" applyBorder="1" applyAlignment="1"/>
    <xf numFmtId="41" fontId="41" fillId="25" borderId="28" xfId="0" applyNumberFormat="1" applyFont="1" applyFill="1" applyBorder="1" applyAlignment="1">
      <alignment horizontal="center" vertical="center" wrapText="1"/>
    </xf>
    <xf numFmtId="179" fontId="41" fillId="25" borderId="28" xfId="0" applyNumberFormat="1" applyFont="1" applyFill="1" applyBorder="1" applyAlignment="1">
      <alignment horizontal="center" vertical="center" wrapText="1"/>
    </xf>
    <xf numFmtId="179" fontId="41" fillId="19" borderId="28" xfId="0" applyNumberFormat="1" applyFont="1" applyFill="1" applyBorder="1" applyAlignment="1">
      <alignment horizontal="center" vertical="center" wrapText="1"/>
    </xf>
    <xf numFmtId="179" fontId="46" fillId="19" borderId="28" xfId="0" applyNumberFormat="1" applyFont="1" applyFill="1" applyBorder="1" applyAlignment="1">
      <alignment horizontal="center" vertical="center" wrapText="1"/>
    </xf>
    <xf numFmtId="179" fontId="46" fillId="18" borderId="28" xfId="0" applyNumberFormat="1" applyFont="1" applyFill="1" applyBorder="1" applyAlignment="1">
      <alignment horizontal="center" vertical="center" wrapText="1"/>
    </xf>
    <xf numFmtId="41" fontId="41" fillId="0" borderId="28" xfId="0" applyNumberFormat="1" applyFont="1" applyBorder="1" applyAlignment="1">
      <alignment horizontal="center" vertical="center" wrapText="1"/>
    </xf>
    <xf numFmtId="179" fontId="41" fillId="0" borderId="28" xfId="0" applyNumberFormat="1" applyFont="1" applyBorder="1" applyAlignment="1">
      <alignment horizontal="center" vertical="center" wrapText="1"/>
    </xf>
    <xf numFmtId="179" fontId="41" fillId="0" borderId="28" xfId="0" applyNumberFormat="1" applyFont="1" applyBorder="1"/>
    <xf numFmtId="178" fontId="24" fillId="11" borderId="1" xfId="0" applyNumberFormat="1" applyFont="1" applyFill="1" applyBorder="1"/>
    <xf numFmtId="177" fontId="24" fillId="11" borderId="1" xfId="0" applyNumberFormat="1" applyFont="1" applyFill="1" applyBorder="1" applyProtection="1">
      <protection locked="0"/>
    </xf>
    <xf numFmtId="178" fontId="20" fillId="0" borderId="1" xfId="0" applyNumberFormat="1" applyFont="1" applyBorder="1" applyProtection="1">
      <protection locked="0"/>
    </xf>
    <xf numFmtId="178" fontId="20" fillId="0" borderId="1" xfId="0" applyNumberFormat="1" applyFont="1" applyBorder="1"/>
    <xf numFmtId="177" fontId="20" fillId="0" borderId="1" xfId="0" applyNumberFormat="1" applyFont="1" applyBorder="1" applyProtection="1">
      <protection locked="0"/>
    </xf>
    <xf numFmtId="179" fontId="20" fillId="0" borderId="1" xfId="0" applyNumberFormat="1" applyFont="1" applyBorder="1" applyProtection="1">
      <protection locked="0"/>
    </xf>
    <xf numFmtId="179" fontId="20" fillId="0" borderId="1" xfId="0" applyNumberFormat="1" applyFont="1" applyBorder="1"/>
    <xf numFmtId="178" fontId="20" fillId="11" borderId="1" xfId="0" applyNumberFormat="1" applyFont="1" applyFill="1" applyBorder="1"/>
    <xf numFmtId="178" fontId="20" fillId="11" borderId="12" xfId="0" applyNumberFormat="1" applyFont="1" applyFill="1" applyBorder="1"/>
    <xf numFmtId="177" fontId="20" fillId="11" borderId="1" xfId="0" applyNumberFormat="1" applyFont="1" applyFill="1" applyBorder="1" applyProtection="1">
      <protection locked="0"/>
    </xf>
    <xf numFmtId="178" fontId="28" fillId="11" borderId="1" xfId="0" applyNumberFormat="1" applyFont="1" applyFill="1" applyBorder="1"/>
    <xf numFmtId="178" fontId="28" fillId="11" borderId="13" xfId="0" applyNumberFormat="1" applyFont="1" applyFill="1" applyBorder="1"/>
    <xf numFmtId="178" fontId="20" fillId="11" borderId="11" xfId="0" applyNumberFormat="1" applyFont="1" applyFill="1" applyBorder="1" applyProtection="1">
      <protection locked="0"/>
    </xf>
    <xf numFmtId="177" fontId="18" fillId="8" borderId="1" xfId="0" applyNumberFormat="1" applyFont="1" applyFill="1" applyBorder="1" applyAlignment="1">
      <alignment horizontal="center" vertical="center" wrapText="1"/>
    </xf>
    <xf numFmtId="177" fontId="18" fillId="8" borderId="1" xfId="2" applyNumberFormat="1" applyFont="1" applyFill="1" applyBorder="1" applyAlignment="1">
      <alignment horizontal="center" vertical="center" wrapText="1"/>
    </xf>
    <xf numFmtId="176" fontId="3" fillId="0" borderId="1" xfId="1" applyNumberFormat="1" applyFont="1" applyBorder="1" applyAlignment="1">
      <alignment horizontal="center" vertical="center" wrapText="1"/>
    </xf>
    <xf numFmtId="0" fontId="0" fillId="0" borderId="11" xfId="0" applyBorder="1" applyProtection="1">
      <protection locked="0"/>
    </xf>
    <xf numFmtId="0" fontId="3" fillId="0" borderId="0" xfId="0" applyFont="1" applyAlignment="1">
      <alignment vertical="center"/>
    </xf>
    <xf numFmtId="0" fontId="3" fillId="0" borderId="1" xfId="0" applyFont="1" applyBorder="1" applyAlignment="1">
      <alignment vertical="center"/>
    </xf>
    <xf numFmtId="0" fontId="41" fillId="14" borderId="1" xfId="0" applyFont="1" applyFill="1" applyBorder="1" applyAlignment="1" applyProtection="1">
      <alignment horizontal="center" vertical="center"/>
      <protection locked="0"/>
    </xf>
    <xf numFmtId="178" fontId="28" fillId="0" borderId="1" xfId="0" applyNumberFormat="1" applyFont="1" applyBorder="1" applyProtection="1">
      <protection locked="0"/>
    </xf>
    <xf numFmtId="0" fontId="3" fillId="5" borderId="0" xfId="0" applyFont="1" applyFill="1" applyBorder="1" applyAlignment="1">
      <alignment vertical="center"/>
    </xf>
    <xf numFmtId="0" fontId="12" fillId="5" borderId="0" xfId="0" applyFont="1" applyFill="1" applyBorder="1" applyAlignment="1">
      <alignment vertical="center"/>
    </xf>
    <xf numFmtId="0" fontId="3" fillId="5" borderId="0" xfId="0" applyFont="1" applyFill="1" applyBorder="1" applyAlignment="1">
      <alignment horizontal="left" vertical="center" indent="1"/>
    </xf>
    <xf numFmtId="0" fontId="41" fillId="18" borderId="0" xfId="0" applyFont="1" applyFill="1" applyAlignment="1">
      <alignment horizontal="left" vertical="center" indent="1"/>
    </xf>
    <xf numFmtId="0" fontId="51" fillId="0" borderId="18" xfId="0" applyFont="1" applyBorder="1" applyAlignment="1">
      <alignment vertical="top" wrapText="1"/>
    </xf>
    <xf numFmtId="0" fontId="53" fillId="25" borderId="18" xfId="0" applyFont="1" applyFill="1" applyBorder="1"/>
    <xf numFmtId="0" fontId="34" fillId="13" borderId="19" xfId="0" applyFont="1" applyFill="1" applyBorder="1"/>
    <xf numFmtId="0" fontId="35" fillId="8" borderId="19" xfId="0" applyFont="1" applyFill="1" applyBorder="1"/>
    <xf numFmtId="0" fontId="52" fillId="27" borderId="18" xfId="0" applyFont="1" applyFill="1" applyBorder="1"/>
    <xf numFmtId="0" fontId="8" fillId="5" borderId="5" xfId="0" applyFont="1" applyFill="1" applyBorder="1" applyAlignment="1">
      <alignment horizontal="center" vertical="center"/>
    </xf>
    <xf numFmtId="0" fontId="3" fillId="0" borderId="0" xfId="0" applyFont="1" applyBorder="1" applyAlignment="1">
      <alignment vertical="center"/>
    </xf>
    <xf numFmtId="0" fontId="0" fillId="0" borderId="7" xfId="0" applyBorder="1"/>
    <xf numFmtId="0" fontId="8" fillId="3" borderId="1" xfId="4" applyFont="1" applyFill="1" applyBorder="1" applyAlignment="1">
      <alignment horizontal="left" vertical="center" indent="2"/>
    </xf>
    <xf numFmtId="0" fontId="0" fillId="0" borderId="15" xfId="0" applyBorder="1"/>
    <xf numFmtId="0" fontId="0" fillId="0" borderId="11" xfId="0" applyBorder="1"/>
    <xf numFmtId="0" fontId="10" fillId="4" borderId="1" xfId="3" applyFont="1" applyFill="1" applyBorder="1" applyAlignment="1" applyProtection="1">
      <alignment horizontal="center" vertical="center"/>
      <protection locked="0"/>
    </xf>
    <xf numFmtId="0" fontId="0" fillId="0" borderId="15" xfId="0" applyBorder="1" applyProtection="1">
      <protection locked="0"/>
    </xf>
    <xf numFmtId="0" fontId="0" fillId="0" borderId="11" xfId="0" applyBorder="1" applyProtection="1">
      <protection locked="0"/>
    </xf>
    <xf numFmtId="0" fontId="8" fillId="3" borderId="1" xfId="3" applyFont="1" applyFill="1" applyBorder="1" applyAlignment="1">
      <alignment horizontal="left" vertical="center" indent="2"/>
    </xf>
    <xf numFmtId="0" fontId="9" fillId="4" borderId="1" xfId="3" applyFont="1" applyFill="1" applyBorder="1" applyAlignment="1" applyProtection="1">
      <alignment horizontal="center" vertical="center"/>
      <protection locked="0"/>
    </xf>
    <xf numFmtId="0" fontId="5" fillId="2" borderId="0" xfId="3" applyFont="1" applyFill="1" applyAlignment="1">
      <alignment horizontal="center" vertical="center" wrapText="1"/>
    </xf>
    <xf numFmtId="0" fontId="3" fillId="0" borderId="0" xfId="0" applyFont="1" applyAlignment="1">
      <alignment vertical="center"/>
    </xf>
    <xf numFmtId="180" fontId="11" fillId="4" borderId="1" xfId="3" applyNumberFormat="1" applyFont="1" applyFill="1" applyBorder="1" applyAlignment="1" applyProtection="1">
      <alignment horizontal="center" vertical="center"/>
      <protection locked="0"/>
    </xf>
    <xf numFmtId="0" fontId="14" fillId="0" borderId="11" xfId="0" applyFont="1" applyBorder="1" applyAlignment="1">
      <alignment horizontal="left" vertical="center" wrapText="1" indent="1"/>
    </xf>
    <xf numFmtId="0" fontId="3" fillId="4" borderId="12" xfId="0" applyFont="1" applyFill="1" applyBorder="1" applyAlignment="1">
      <alignment horizontal="center" vertical="center" wrapText="1"/>
    </xf>
    <xf numFmtId="0" fontId="0" fillId="0" borderId="5" xfId="0" applyBorder="1"/>
    <xf numFmtId="181" fontId="3" fillId="0" borderId="1" xfId="0" applyNumberFormat="1" applyFont="1" applyBorder="1" applyAlignment="1">
      <alignment horizontal="center" vertical="center" wrapText="1"/>
    </xf>
    <xf numFmtId="0" fontId="3" fillId="0" borderId="1" xfId="0" applyFont="1" applyBorder="1" applyAlignment="1">
      <alignment horizontal="left" wrapText="1" indent="1"/>
    </xf>
    <xf numFmtId="0" fontId="3" fillId="0" borderId="1" xfId="0" applyFont="1" applyBorder="1" applyAlignment="1">
      <alignment horizontal="center" vertical="center" wrapText="1"/>
    </xf>
    <xf numFmtId="0" fontId="0" fillId="0" borderId="14" xfId="0" applyBorder="1"/>
    <xf numFmtId="0" fontId="14" fillId="0" borderId="1" xfId="0" applyFont="1" applyBorder="1" applyAlignment="1">
      <alignment horizontal="left" vertical="top" wrapText="1" indent="1"/>
    </xf>
    <xf numFmtId="0" fontId="13" fillId="6" borderId="0" xfId="0" applyFont="1" applyFill="1" applyAlignment="1">
      <alignment horizontal="left" vertical="center" wrapText="1" indent="1"/>
    </xf>
    <xf numFmtId="0" fontId="3" fillId="0" borderId="0" xfId="0" applyFont="1" applyAlignment="1">
      <alignment wrapText="1"/>
    </xf>
    <xf numFmtId="0" fontId="3" fillId="0" borderId="0" xfId="0" applyFont="1"/>
    <xf numFmtId="0" fontId="12" fillId="7"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3" fillId="0" borderId="1" xfId="0" applyFont="1" applyBorder="1" applyAlignment="1">
      <alignment horizontal="left" vertical="center" indent="1"/>
    </xf>
    <xf numFmtId="0" fontId="3" fillId="7" borderId="13" xfId="0" applyFont="1" applyFill="1" applyBorder="1" applyAlignment="1">
      <alignment horizontal="center" vertical="center" wrapText="1"/>
    </xf>
    <xf numFmtId="0" fontId="15" fillId="2" borderId="1" xfId="0" applyFont="1" applyFill="1" applyBorder="1" applyAlignment="1">
      <alignment horizontal="center" vertical="center"/>
    </xf>
    <xf numFmtId="176" fontId="3" fillId="8" borderId="1" xfId="1" applyNumberFormat="1" applyFont="1" applyFill="1" applyBorder="1" applyAlignment="1">
      <alignment horizontal="center" vertical="center"/>
    </xf>
    <xf numFmtId="49" fontId="14" fillId="0" borderId="1" xfId="0" applyNumberFormat="1" applyFont="1" applyBorder="1" applyAlignment="1">
      <alignment horizontal="left" vertical="center" wrapText="1" indent="1"/>
    </xf>
    <xf numFmtId="0" fontId="0" fillId="0" borderId="3" xfId="0" applyBorder="1"/>
    <xf numFmtId="0" fontId="0" fillId="0" borderId="4" xfId="0" applyBorder="1"/>
    <xf numFmtId="0" fontId="0" fillId="0" borderId="6" xfId="0" applyBorder="1"/>
    <xf numFmtId="0" fontId="0" fillId="0" borderId="8" xfId="0" applyBorder="1"/>
    <xf numFmtId="0" fontId="0" fillId="0" borderId="9" xfId="0" applyBorder="1"/>
    <xf numFmtId="0" fontId="0" fillId="0" borderId="10" xfId="0" applyBorder="1"/>
    <xf numFmtId="0" fontId="14" fillId="0" borderId="1" xfId="0" applyFont="1" applyBorder="1" applyAlignment="1">
      <alignment horizontal="left" vertical="center" wrapText="1" indent="1"/>
    </xf>
    <xf numFmtId="0" fontId="13" fillId="6" borderId="9" xfId="0" applyFont="1" applyFill="1" applyBorder="1" applyAlignment="1">
      <alignment horizontal="left" indent="1"/>
    </xf>
    <xf numFmtId="0" fontId="3" fillId="7" borderId="1" xfId="0" applyFont="1" applyFill="1" applyBorder="1" applyAlignment="1">
      <alignment horizontal="center" vertical="center"/>
    </xf>
    <xf numFmtId="176" fontId="3" fillId="8" borderId="1" xfId="1" applyNumberFormat="1" applyFont="1" applyFill="1" applyBorder="1" applyAlignment="1">
      <alignment horizontal="left" vertical="center" wrapText="1" indent="2"/>
    </xf>
    <xf numFmtId="0" fontId="16" fillId="0" borderId="12" xfId="0" applyFont="1" applyBorder="1" applyAlignment="1">
      <alignment horizontal="center" vertical="center" wrapText="1"/>
    </xf>
    <xf numFmtId="2" fontId="3" fillId="8" borderId="1" xfId="0" applyNumberFormat="1" applyFont="1" applyFill="1" applyBorder="1" applyAlignment="1">
      <alignment horizontal="center" vertical="center"/>
    </xf>
    <xf numFmtId="0" fontId="3" fillId="0" borderId="1" xfId="0" applyFont="1" applyBorder="1" applyAlignment="1">
      <alignment horizontal="center" vertical="center"/>
    </xf>
    <xf numFmtId="0" fontId="14" fillId="0" borderId="12" xfId="0" applyFont="1" applyBorder="1" applyAlignment="1">
      <alignment horizontal="left" vertical="top" wrapText="1" indent="1"/>
    </xf>
    <xf numFmtId="0" fontId="3" fillId="0" borderId="1" xfId="0" applyFont="1" applyBorder="1" applyAlignment="1">
      <alignment vertical="center"/>
    </xf>
    <xf numFmtId="0" fontId="0" fillId="0" borderId="16" xfId="0" applyBorder="1"/>
    <xf numFmtId="0" fontId="0" fillId="0" borderId="1" xfId="0" applyBorder="1"/>
    <xf numFmtId="0" fontId="3" fillId="0" borderId="1" xfId="0" applyFont="1" applyBorder="1" applyAlignment="1">
      <alignment horizontal="left" vertical="center" indent="2"/>
    </xf>
    <xf numFmtId="177" fontId="4" fillId="5" borderId="1" xfId="2" applyNumberFormat="1" applyFont="1" applyFill="1" applyBorder="1" applyAlignment="1">
      <alignment horizontal="center" vertical="center" wrapText="1"/>
    </xf>
    <xf numFmtId="0" fontId="3" fillId="8" borderId="1" xfId="0" applyFont="1" applyFill="1" applyBorder="1" applyAlignment="1">
      <alignment horizontal="left" vertical="center" indent="1"/>
    </xf>
    <xf numFmtId="0" fontId="3" fillId="4" borderId="1" xfId="0" applyFont="1" applyFill="1" applyBorder="1" applyAlignment="1">
      <alignment horizontal="center" vertical="center"/>
    </xf>
    <xf numFmtId="0" fontId="3" fillId="0" borderId="13" xfId="0" applyFont="1" applyBorder="1" applyAlignment="1">
      <alignment horizontal="left" vertical="center" indent="1"/>
    </xf>
    <xf numFmtId="0" fontId="13" fillId="6" borderId="1" xfId="0" applyFont="1" applyFill="1" applyBorder="1" applyAlignment="1">
      <alignment horizontal="left" vertical="center" wrapText="1" indent="1"/>
    </xf>
    <xf numFmtId="177" fontId="4" fillId="8" borderId="12" xfId="2" applyNumberFormat="1" applyFont="1" applyFill="1" applyBorder="1" applyAlignment="1">
      <alignment horizontal="center" vertical="center"/>
    </xf>
    <xf numFmtId="0" fontId="3" fillId="8" borderId="1" xfId="0" applyFont="1" applyFill="1" applyBorder="1" applyAlignment="1">
      <alignment horizontal="center" vertical="center"/>
    </xf>
    <xf numFmtId="0" fontId="3" fillId="7" borderId="1" xfId="0" applyFont="1" applyFill="1" applyBorder="1" applyAlignment="1">
      <alignment horizontal="center" vertical="center" wrapText="1"/>
    </xf>
    <xf numFmtId="177" fontId="4" fillId="16" borderId="1" xfId="2" applyNumberFormat="1" applyFont="1" applyFill="1" applyBorder="1" applyAlignment="1">
      <alignment horizontal="center" vertical="center"/>
    </xf>
    <xf numFmtId="176" fontId="3" fillId="8" borderId="1" xfId="1" applyNumberFormat="1" applyFont="1" applyFill="1" applyBorder="1" applyAlignment="1">
      <alignment horizontal="right" vertical="center"/>
    </xf>
    <xf numFmtId="0" fontId="15" fillId="2" borderId="1" xfId="0" applyFont="1" applyFill="1" applyBorder="1" applyAlignment="1">
      <alignment horizontal="center" vertical="center" wrapText="1"/>
    </xf>
    <xf numFmtId="49" fontId="43" fillId="8" borderId="1" xfId="2" applyNumberFormat="1" applyFont="1" applyFill="1" applyBorder="1" applyAlignment="1">
      <alignment horizontal="left" vertical="center" wrapText="1" indent="1"/>
    </xf>
    <xf numFmtId="0" fontId="3" fillId="5" borderId="1" xfId="0" applyFont="1" applyFill="1" applyBorder="1" applyAlignment="1">
      <alignment horizontal="center" vertical="center" wrapText="1"/>
    </xf>
    <xf numFmtId="0" fontId="15" fillId="8" borderId="1" xfId="0" applyFont="1" applyFill="1" applyBorder="1" applyAlignment="1">
      <alignment horizontal="center" vertical="center"/>
    </xf>
    <xf numFmtId="0" fontId="3" fillId="4" borderId="1" xfId="0" applyFont="1" applyFill="1" applyBorder="1" applyAlignment="1">
      <alignment horizontal="left" vertical="center" indent="1"/>
    </xf>
    <xf numFmtId="0" fontId="3" fillId="7" borderId="1" xfId="0" applyFont="1" applyFill="1" applyBorder="1" applyAlignment="1">
      <alignment horizontal="left" vertical="center" indent="1"/>
    </xf>
    <xf numFmtId="177" fontId="4" fillId="8" borderId="1" xfId="2" applyNumberFormat="1" applyFont="1" applyFill="1" applyBorder="1" applyAlignment="1">
      <alignment horizontal="center" vertical="center"/>
    </xf>
    <xf numFmtId="0" fontId="19" fillId="8" borderId="1" xfId="0" applyFont="1" applyFill="1" applyBorder="1" applyAlignment="1">
      <alignment horizontal="left" vertical="top" wrapText="1" indent="1"/>
    </xf>
    <xf numFmtId="0" fontId="3" fillId="0" borderId="11" xfId="0" applyFont="1" applyBorder="1" applyAlignment="1">
      <alignment horizontal="left" vertical="center" indent="1"/>
    </xf>
    <xf numFmtId="0" fontId="3" fillId="7" borderId="13" xfId="0" applyFont="1" applyFill="1" applyBorder="1" applyAlignment="1">
      <alignment horizontal="center" vertical="center"/>
    </xf>
    <xf numFmtId="0" fontId="18" fillId="7" borderId="1" xfId="0" applyFont="1" applyFill="1" applyBorder="1" applyAlignment="1">
      <alignment horizontal="center" vertical="center"/>
    </xf>
    <xf numFmtId="0" fontId="14" fillId="8" borderId="1" xfId="0" applyFont="1" applyFill="1" applyBorder="1" applyAlignment="1">
      <alignment horizontal="left" vertical="top" wrapText="1" indent="1"/>
    </xf>
    <xf numFmtId="0" fontId="3" fillId="7" borderId="12" xfId="0" applyFont="1" applyFill="1" applyBorder="1" applyAlignment="1">
      <alignment horizontal="center" vertical="center"/>
    </xf>
    <xf numFmtId="0" fontId="12" fillId="7" borderId="1" xfId="0" applyFont="1" applyFill="1" applyBorder="1" applyAlignment="1">
      <alignment horizontal="right" vertical="center" indent="1"/>
    </xf>
    <xf numFmtId="0" fontId="3" fillId="0" borderId="1" xfId="0" applyFont="1" applyBorder="1" applyAlignment="1" applyProtection="1">
      <alignment horizontal="left" vertical="center" indent="1"/>
      <protection locked="0"/>
    </xf>
    <xf numFmtId="0" fontId="3" fillId="0" borderId="1" xfId="0" applyFont="1" applyBorder="1" applyAlignment="1" applyProtection="1">
      <alignment horizontal="center" vertical="center"/>
      <protection locked="0"/>
    </xf>
    <xf numFmtId="0" fontId="3" fillId="7" borderId="1" xfId="0" applyFont="1" applyFill="1" applyBorder="1" applyAlignment="1" applyProtection="1">
      <alignment horizontal="center" vertical="center"/>
      <protection locked="0"/>
    </xf>
    <xf numFmtId="0" fontId="3" fillId="0" borderId="1" xfId="0" applyFont="1" applyBorder="1" applyAlignment="1" applyProtection="1">
      <alignment vertical="center"/>
      <protection locked="0"/>
    </xf>
    <xf numFmtId="0" fontId="15" fillId="2" borderId="1" xfId="0" applyFont="1" applyFill="1" applyBorder="1" applyAlignment="1" applyProtection="1">
      <alignment horizontal="center" vertical="center"/>
      <protection locked="0"/>
    </xf>
    <xf numFmtId="0" fontId="3" fillId="4" borderId="1" xfId="0" applyFont="1" applyFill="1" applyBorder="1" applyAlignment="1" applyProtection="1">
      <alignment horizontal="center" vertical="center"/>
      <protection locked="0"/>
    </xf>
    <xf numFmtId="0" fontId="0" fillId="0" borderId="3" xfId="0" applyBorder="1" applyProtection="1">
      <protection locked="0"/>
    </xf>
    <xf numFmtId="0" fontId="0" fillId="0" borderId="4" xfId="0" applyBorder="1" applyProtection="1">
      <protection locked="0"/>
    </xf>
    <xf numFmtId="0" fontId="0" fillId="0" borderId="8" xfId="0" applyBorder="1" applyProtection="1">
      <protection locked="0"/>
    </xf>
    <xf numFmtId="0" fontId="0" fillId="0" borderId="9" xfId="0" applyBorder="1" applyProtection="1">
      <protection locked="0"/>
    </xf>
    <xf numFmtId="0" fontId="0" fillId="0" borderId="10" xfId="0" applyBorder="1" applyProtection="1">
      <protection locked="0"/>
    </xf>
    <xf numFmtId="0" fontId="3" fillId="7" borderId="1" xfId="0" applyFont="1" applyFill="1" applyBorder="1" applyAlignment="1" applyProtection="1">
      <alignment horizontal="center" vertical="center" wrapText="1"/>
      <protection locked="0"/>
    </xf>
    <xf numFmtId="0" fontId="0" fillId="0" borderId="6" xfId="0" applyBorder="1" applyProtection="1">
      <protection locked="0"/>
    </xf>
    <xf numFmtId="0" fontId="0" fillId="0" borderId="7" xfId="0" applyBorder="1" applyProtection="1">
      <protection locked="0"/>
    </xf>
    <xf numFmtId="0" fontId="3" fillId="4" borderId="1" xfId="0" applyFont="1" applyFill="1" applyBorder="1" applyAlignment="1" applyProtection="1">
      <alignment horizontal="left" vertical="center" indent="1"/>
      <protection locked="0"/>
    </xf>
    <xf numFmtId="0" fontId="3" fillId="8" borderId="1" xfId="0" applyFont="1" applyFill="1" applyBorder="1" applyAlignment="1" applyProtection="1">
      <alignment horizontal="center" vertical="center"/>
      <protection locked="0"/>
    </xf>
    <xf numFmtId="0" fontId="3" fillId="0" borderId="1" xfId="0" applyFont="1" applyBorder="1" applyAlignment="1" applyProtection="1">
      <alignment horizontal="left" vertical="center" indent="2"/>
      <protection locked="0"/>
    </xf>
    <xf numFmtId="9" fontId="4" fillId="8" borderId="14" xfId="2" applyFont="1" applyFill="1" applyBorder="1" applyAlignment="1" applyProtection="1">
      <alignment horizontal="center" vertical="center"/>
      <protection locked="0"/>
    </xf>
    <xf numFmtId="182" fontId="4" fillId="8" borderId="1" xfId="2" applyNumberFormat="1" applyFont="1" applyFill="1" applyBorder="1" applyAlignment="1" applyProtection="1">
      <alignment horizontal="center" vertical="center"/>
      <protection locked="0"/>
    </xf>
    <xf numFmtId="9" fontId="4" fillId="8" borderId="12" xfId="2" applyFont="1" applyFill="1" applyBorder="1" applyAlignment="1" applyProtection="1">
      <alignment horizontal="center" vertical="center"/>
      <protection locked="0"/>
    </xf>
    <xf numFmtId="9" fontId="3" fillId="8" borderId="1" xfId="2" applyFont="1" applyFill="1" applyBorder="1" applyAlignment="1" applyProtection="1">
      <alignment horizontal="center" vertical="center"/>
      <protection locked="0"/>
    </xf>
    <xf numFmtId="0" fontId="0" fillId="0" borderId="14" xfId="0" applyBorder="1" applyProtection="1">
      <protection locked="0"/>
    </xf>
    <xf numFmtId="0" fontId="3" fillId="8" borderId="1" xfId="0" applyFont="1" applyFill="1" applyBorder="1" applyAlignment="1" applyProtection="1">
      <alignment horizontal="left" vertical="center" indent="1"/>
      <protection locked="0"/>
    </xf>
    <xf numFmtId="176" fontId="3" fillId="8" borderId="1" xfId="1" applyNumberFormat="1" applyFont="1" applyFill="1" applyBorder="1" applyAlignment="1" applyProtection="1">
      <alignment horizontal="right" vertical="center"/>
      <protection locked="0"/>
    </xf>
    <xf numFmtId="0" fontId="14" fillId="8" borderId="1" xfId="0" applyFont="1" applyFill="1" applyBorder="1" applyAlignment="1" applyProtection="1">
      <alignment horizontal="left" vertical="top" wrapText="1" indent="1"/>
      <protection locked="0"/>
    </xf>
    <xf numFmtId="0" fontId="3" fillId="4" borderId="1" xfId="0" applyFont="1" applyFill="1" applyBorder="1" applyAlignment="1" applyProtection="1">
      <alignment horizontal="center" vertical="center" wrapText="1"/>
      <protection locked="0"/>
    </xf>
    <xf numFmtId="182" fontId="4" fillId="8" borderId="11" xfId="2" applyNumberFormat="1" applyFont="1" applyFill="1" applyBorder="1" applyAlignment="1" applyProtection="1">
      <alignment horizontal="center" vertical="center"/>
      <protection locked="0"/>
    </xf>
    <xf numFmtId="0" fontId="15" fillId="2" borderId="1" xfId="0" applyFont="1" applyFill="1" applyBorder="1" applyAlignment="1" applyProtection="1">
      <alignment horizontal="center" vertical="center" wrapText="1"/>
      <protection locked="0"/>
    </xf>
    <xf numFmtId="0" fontId="12" fillId="7" borderId="1" xfId="0" applyFont="1" applyFill="1" applyBorder="1" applyAlignment="1" applyProtection="1">
      <alignment horizontal="center" vertical="center"/>
      <protection locked="0"/>
    </xf>
    <xf numFmtId="176" fontId="3" fillId="8" borderId="1" xfId="1" applyNumberFormat="1" applyFont="1" applyFill="1" applyBorder="1" applyAlignment="1" applyProtection="1">
      <alignment horizontal="center" vertical="center"/>
      <protection locked="0"/>
    </xf>
    <xf numFmtId="9" fontId="4" fillId="17" borderId="1" xfId="2" applyFont="1" applyFill="1" applyBorder="1" applyAlignment="1" applyProtection="1">
      <alignment horizontal="center" vertical="center"/>
      <protection locked="0"/>
    </xf>
    <xf numFmtId="0" fontId="3" fillId="7" borderId="13" xfId="0" applyFont="1" applyFill="1" applyBorder="1" applyAlignment="1" applyProtection="1">
      <alignment horizontal="center" vertical="center"/>
      <protection locked="0"/>
    </xf>
    <xf numFmtId="0" fontId="15" fillId="8" borderId="1" xfId="0" applyFont="1" applyFill="1" applyBorder="1" applyAlignment="1" applyProtection="1">
      <alignment horizontal="center" vertical="center"/>
      <protection locked="0"/>
    </xf>
    <xf numFmtId="0" fontId="14" fillId="0" borderId="1" xfId="0" applyFont="1" applyBorder="1" applyAlignment="1" applyProtection="1">
      <alignment horizontal="left" vertical="top" wrapText="1" indent="1"/>
      <protection locked="0"/>
    </xf>
    <xf numFmtId="0" fontId="0" fillId="0" borderId="0" xfId="0" applyProtection="1">
      <protection locked="0"/>
    </xf>
    <xf numFmtId="0" fontId="15" fillId="9" borderId="1" xfId="0" applyFont="1" applyFill="1" applyBorder="1" applyAlignment="1" applyProtection="1">
      <alignment horizontal="center" vertical="center" wrapText="1"/>
      <protection locked="0"/>
    </xf>
    <xf numFmtId="0" fontId="12" fillId="7" borderId="1" xfId="0" applyFont="1" applyFill="1" applyBorder="1" applyAlignment="1" applyProtection="1">
      <alignment horizontal="right" vertical="center" indent="2"/>
      <protection locked="0"/>
    </xf>
    <xf numFmtId="177" fontId="4" fillId="5" borderId="15" xfId="2" applyNumberFormat="1" applyFont="1" applyFill="1" applyBorder="1" applyAlignment="1" applyProtection="1">
      <alignment horizontal="center" vertical="center" wrapText="1"/>
      <protection locked="0"/>
    </xf>
    <xf numFmtId="0" fontId="4" fillId="8" borderId="1" xfId="2" applyNumberFormat="1" applyFont="1" applyFill="1" applyBorder="1" applyAlignment="1" applyProtection="1">
      <alignment horizontal="center" vertical="center"/>
      <protection locked="0"/>
    </xf>
    <xf numFmtId="0" fontId="4" fillId="17" borderId="1" xfId="2" applyNumberFormat="1" applyFont="1" applyFill="1" applyBorder="1" applyAlignment="1" applyProtection="1">
      <alignment horizontal="center" vertical="center"/>
      <protection locked="0"/>
    </xf>
    <xf numFmtId="177" fontId="4" fillId="5" borderId="1" xfId="2" applyNumberFormat="1" applyFont="1" applyFill="1" applyBorder="1" applyAlignment="1" applyProtection="1">
      <alignment horizontal="center" vertical="center" wrapText="1"/>
      <protection locked="0"/>
    </xf>
    <xf numFmtId="0" fontId="3" fillId="5" borderId="1" xfId="0" applyFont="1" applyFill="1" applyBorder="1" applyAlignment="1" applyProtection="1">
      <alignment horizontal="center" vertical="center" wrapText="1"/>
      <protection locked="0"/>
    </xf>
    <xf numFmtId="0" fontId="12" fillId="5" borderId="13" xfId="0" applyFont="1" applyFill="1" applyBorder="1" applyAlignment="1" applyProtection="1">
      <alignment horizontal="center" vertical="center"/>
      <protection locked="0"/>
    </xf>
    <xf numFmtId="0" fontId="12" fillId="5" borderId="15" xfId="0" applyFont="1" applyFill="1" applyBorder="1" applyAlignment="1" applyProtection="1">
      <alignment horizontal="center" vertical="center"/>
      <protection locked="0"/>
    </xf>
    <xf numFmtId="0" fontId="12" fillId="7" borderId="1" xfId="0" applyFont="1" applyFill="1" applyBorder="1" applyAlignment="1">
      <alignment horizontal="right" vertical="center" indent="2"/>
    </xf>
    <xf numFmtId="0" fontId="3" fillId="0" borderId="13" xfId="0" applyFont="1" applyBorder="1" applyAlignment="1">
      <alignment horizontal="left" vertical="center" indent="3"/>
    </xf>
    <xf numFmtId="177" fontId="4" fillId="5" borderId="1" xfId="2" applyNumberFormat="1" applyFont="1" applyFill="1" applyBorder="1" applyAlignment="1">
      <alignment horizontal="center" vertical="center"/>
    </xf>
    <xf numFmtId="177" fontId="4" fillId="8" borderId="1" xfId="2" applyNumberFormat="1" applyFont="1" applyFill="1" applyBorder="1" applyAlignment="1">
      <alignment horizontal="left" vertical="center" indent="1"/>
    </xf>
    <xf numFmtId="0" fontId="41" fillId="25" borderId="28" xfId="0" applyFont="1" applyFill="1" applyBorder="1" applyAlignment="1">
      <alignment horizontal="left" vertical="center" wrapText="1" indent="1"/>
    </xf>
    <xf numFmtId="0" fontId="0" fillId="0" borderId="35" xfId="0" applyBorder="1"/>
    <xf numFmtId="0" fontId="0" fillId="0" borderId="34" xfId="0" applyBorder="1"/>
    <xf numFmtId="0" fontId="49" fillId="24" borderId="28" xfId="0" applyFont="1" applyFill="1" applyBorder="1" applyAlignment="1">
      <alignment horizontal="center" vertical="center" wrapText="1"/>
    </xf>
    <xf numFmtId="0" fontId="41" fillId="25" borderId="28" xfId="0" applyFont="1" applyFill="1" applyBorder="1" applyAlignment="1">
      <alignment horizontal="center" vertical="center" wrapText="1"/>
    </xf>
    <xf numFmtId="0" fontId="41" fillId="24" borderId="28" xfId="0" applyFont="1" applyFill="1" applyBorder="1" applyAlignment="1">
      <alignment horizontal="center" vertical="center" wrapText="1"/>
    </xf>
    <xf numFmtId="0" fontId="49" fillId="24" borderId="28" xfId="0" applyFont="1" applyFill="1" applyBorder="1" applyAlignment="1">
      <alignment horizontal="center" vertical="center"/>
    </xf>
    <xf numFmtId="0" fontId="0" fillId="0" borderId="31" xfId="0" applyBorder="1"/>
    <xf numFmtId="0" fontId="47" fillId="21" borderId="27" xfId="0" applyFont="1" applyFill="1" applyBorder="1" applyAlignment="1">
      <alignment horizontal="center" vertical="center" wrapText="1"/>
    </xf>
    <xf numFmtId="0" fontId="0" fillId="0" borderId="0" xfId="0"/>
    <xf numFmtId="0" fontId="49" fillId="24" borderId="29" xfId="0" applyFont="1" applyFill="1" applyBorder="1" applyAlignment="1">
      <alignment horizontal="center" vertical="center" wrapText="1"/>
    </xf>
    <xf numFmtId="0" fontId="0" fillId="0" borderId="32" xfId="0" applyBorder="1"/>
    <xf numFmtId="0" fontId="0" fillId="0" borderId="33" xfId="0" applyBorder="1"/>
    <xf numFmtId="0" fontId="49" fillId="23" borderId="27" xfId="0" applyFont="1" applyFill="1" applyBorder="1" applyAlignment="1">
      <alignment horizontal="center" vertical="center" wrapText="1"/>
    </xf>
    <xf numFmtId="0" fontId="43" fillId="25" borderId="28" xfId="0" applyFont="1" applyFill="1" applyBorder="1" applyAlignment="1">
      <alignment horizontal="left" vertical="top" wrapText="1" indent="1"/>
    </xf>
    <xf numFmtId="0" fontId="0" fillId="0" borderId="30" xfId="0" applyBorder="1"/>
    <xf numFmtId="0" fontId="46" fillId="20" borderId="27" xfId="0" applyFont="1" applyFill="1" applyBorder="1" applyAlignment="1">
      <alignment horizontal="center" vertical="center" wrapText="1"/>
    </xf>
    <xf numFmtId="0" fontId="48" fillId="22" borderId="26" xfId="0" applyFont="1" applyFill="1" applyBorder="1" applyAlignment="1">
      <alignment horizontal="left" vertical="center" wrapText="1" indent="1"/>
    </xf>
    <xf numFmtId="0" fontId="0" fillId="0" borderId="36" xfId="0" applyBorder="1"/>
    <xf numFmtId="0" fontId="0" fillId="0" borderId="37" xfId="0" applyBorder="1"/>
    <xf numFmtId="0" fontId="0" fillId="0" borderId="38" xfId="0" applyBorder="1"/>
    <xf numFmtId="0" fontId="0" fillId="0" borderId="39" xfId="0" applyBorder="1"/>
    <xf numFmtId="0" fontId="46" fillId="18" borderId="28" xfId="0" applyFont="1" applyFill="1" applyBorder="1" applyAlignment="1">
      <alignment horizontal="center" vertical="center" wrapText="1" indent="1"/>
    </xf>
    <xf numFmtId="0" fontId="49" fillId="18" borderId="28" xfId="0" applyFont="1" applyFill="1" applyBorder="1" applyAlignment="1">
      <alignment horizontal="center" vertical="center" wrapText="1"/>
    </xf>
    <xf numFmtId="0" fontId="49" fillId="26" borderId="28" xfId="0" applyFont="1" applyFill="1" applyBorder="1" applyAlignment="1">
      <alignment horizontal="center" vertical="center" wrapText="1"/>
    </xf>
    <xf numFmtId="0" fontId="41" fillId="14" borderId="1" xfId="0" applyFont="1" applyFill="1" applyBorder="1" applyAlignment="1" applyProtection="1">
      <alignment horizontal="center" vertical="center"/>
      <protection locked="0"/>
    </xf>
    <xf numFmtId="0" fontId="44" fillId="14" borderId="2" xfId="0" applyFont="1" applyFill="1" applyBorder="1" applyAlignment="1" applyProtection="1">
      <alignment horizontal="center" vertical="center"/>
      <protection locked="0"/>
    </xf>
    <xf numFmtId="0" fontId="44" fillId="14" borderId="3" xfId="0" applyFont="1" applyFill="1" applyBorder="1" applyAlignment="1" applyProtection="1">
      <alignment horizontal="center" vertical="center"/>
      <protection locked="0"/>
    </xf>
    <xf numFmtId="0" fontId="44" fillId="14" borderId="4" xfId="0" applyFont="1" applyFill="1" applyBorder="1" applyAlignment="1" applyProtection="1">
      <alignment horizontal="center" vertical="center"/>
      <protection locked="0"/>
    </xf>
    <xf numFmtId="0" fontId="44" fillId="14" borderId="8" xfId="0" applyFont="1" applyFill="1" applyBorder="1" applyAlignment="1" applyProtection="1">
      <alignment horizontal="center" vertical="center"/>
      <protection locked="0"/>
    </xf>
    <xf numFmtId="0" fontId="44" fillId="14" borderId="9" xfId="0" applyFont="1" applyFill="1" applyBorder="1" applyAlignment="1" applyProtection="1">
      <alignment horizontal="center" vertical="center"/>
      <protection locked="0"/>
    </xf>
    <xf numFmtId="0" fontId="44" fillId="14" borderId="10" xfId="0" applyFont="1" applyFill="1" applyBorder="1" applyAlignment="1" applyProtection="1">
      <alignment horizontal="center" vertical="center"/>
      <protection locked="0"/>
    </xf>
    <xf numFmtId="0" fontId="45" fillId="14" borderId="12" xfId="0" applyFont="1" applyFill="1" applyBorder="1" applyAlignment="1" applyProtection="1">
      <alignment horizontal="center" vertical="center"/>
      <protection locked="0"/>
    </xf>
    <xf numFmtId="0" fontId="45" fillId="14" borderId="14" xfId="0" applyFont="1" applyFill="1" applyBorder="1" applyAlignment="1" applyProtection="1">
      <alignment horizontal="center" vertical="center"/>
      <protection locked="0"/>
    </xf>
    <xf numFmtId="0" fontId="20" fillId="7" borderId="1" xfId="0" applyFont="1" applyFill="1" applyBorder="1" applyAlignment="1" applyProtection="1">
      <alignment horizontal="center" vertical="center"/>
      <protection locked="0"/>
    </xf>
    <xf numFmtId="0" fontId="20" fillId="5" borderId="1" xfId="0" applyFont="1" applyFill="1" applyBorder="1" applyAlignment="1" applyProtection="1">
      <alignment horizontal="center" vertical="center" wrapText="1"/>
      <protection locked="0"/>
    </xf>
    <xf numFmtId="0" fontId="0" fillId="0" borderId="5" xfId="0" applyBorder="1" applyProtection="1">
      <protection locked="0"/>
    </xf>
    <xf numFmtId="0" fontId="20" fillId="0" borderId="1" xfId="0" applyFont="1" applyBorder="1" applyAlignment="1" applyProtection="1">
      <alignment horizontal="center"/>
      <protection locked="0"/>
    </xf>
    <xf numFmtId="0" fontId="25" fillId="0" borderId="1" xfId="0" applyFont="1" applyBorder="1" applyAlignment="1" applyProtection="1">
      <alignment horizontal="left" vertical="top" wrapText="1" indent="1"/>
      <protection locked="0"/>
    </xf>
    <xf numFmtId="0" fontId="25" fillId="0" borderId="1" xfId="0" applyFont="1" applyBorder="1" applyAlignment="1" applyProtection="1">
      <alignment horizontal="left" vertical="center" wrapText="1" indent="1"/>
      <protection locked="0"/>
    </xf>
    <xf numFmtId="0" fontId="20" fillId="5" borderId="1" xfId="0" applyFont="1" applyFill="1" applyBorder="1" applyAlignment="1" applyProtection="1">
      <alignment horizontal="right" vertical="center" indent="1"/>
      <protection locked="0"/>
    </xf>
    <xf numFmtId="0" fontId="22" fillId="2" borderId="1" xfId="0" applyFont="1" applyFill="1" applyBorder="1" applyAlignment="1" applyProtection="1">
      <alignment horizontal="center" vertical="center"/>
      <protection locked="0"/>
    </xf>
    <xf numFmtId="0" fontId="44" fillId="14" borderId="1" xfId="0" applyFont="1" applyFill="1" applyBorder="1" applyAlignment="1" applyProtection="1">
      <alignment horizontal="center" vertical="center"/>
      <protection locked="0"/>
    </xf>
    <xf numFmtId="0" fontId="20" fillId="0" borderId="1" xfId="0" applyFont="1" applyBorder="1" applyAlignment="1" applyProtection="1">
      <alignment horizontal="left" vertical="top" indent="1"/>
      <protection locked="0"/>
    </xf>
    <xf numFmtId="0" fontId="20" fillId="0" borderId="1" xfId="0" applyFont="1" applyBorder="1" applyAlignment="1" applyProtection="1">
      <alignment horizontal="left" vertical="center" indent="1"/>
      <protection locked="0"/>
    </xf>
    <xf numFmtId="0" fontId="24" fillId="7" borderId="1" xfId="0" applyFont="1" applyFill="1" applyBorder="1" applyAlignment="1" applyProtection="1">
      <alignment horizontal="center" vertical="center"/>
      <protection locked="0"/>
    </xf>
    <xf numFmtId="0" fontId="27" fillId="7" borderId="1" xfId="0" applyFont="1" applyFill="1" applyBorder="1" applyAlignment="1" applyProtection="1">
      <alignment horizontal="right" vertical="center" indent="1"/>
      <protection locked="0"/>
    </xf>
    <xf numFmtId="0" fontId="20" fillId="7" borderId="1" xfId="0" applyFont="1" applyFill="1" applyBorder="1" applyAlignment="1" applyProtection="1">
      <alignment horizontal="center" vertical="center" wrapText="1"/>
      <protection locked="0"/>
    </xf>
    <xf numFmtId="0" fontId="20" fillId="0" borderId="1" xfId="0" applyFont="1" applyBorder="1" applyAlignment="1" applyProtection="1">
      <alignment horizontal="center" vertical="center"/>
      <protection locked="0"/>
    </xf>
    <xf numFmtId="0" fontId="20" fillId="14" borderId="1" xfId="0" applyFont="1" applyFill="1" applyBorder="1" applyAlignment="1" applyProtection="1">
      <alignment horizontal="right" vertical="center" indent="1"/>
      <protection locked="0"/>
    </xf>
    <xf numFmtId="0" fontId="20" fillId="0" borderId="1" xfId="0" applyFont="1" applyBorder="1" applyAlignment="1" applyProtection="1">
      <alignment horizontal="center" vertical="center" wrapText="1"/>
      <protection locked="0"/>
    </xf>
    <xf numFmtId="0" fontId="20" fillId="0" borderId="1" xfId="0" applyFont="1" applyBorder="1" applyProtection="1">
      <protection locked="0"/>
    </xf>
    <xf numFmtId="0" fontId="26" fillId="6" borderId="1" xfId="0" applyFont="1" applyFill="1" applyBorder="1" applyAlignment="1" applyProtection="1">
      <alignment horizontal="center" vertical="center"/>
      <protection locked="0"/>
    </xf>
    <xf numFmtId="0" fontId="20" fillId="7" borderId="1" xfId="0" applyFont="1" applyFill="1" applyBorder="1" applyAlignment="1" applyProtection="1">
      <alignment horizontal="right" vertical="center" indent="1"/>
      <protection locked="0"/>
    </xf>
    <xf numFmtId="0" fontId="24" fillId="11" borderId="1" xfId="0" applyFont="1" applyFill="1" applyBorder="1" applyAlignment="1" applyProtection="1">
      <alignment horizontal="right" vertical="center" indent="1"/>
      <protection locked="0"/>
    </xf>
    <xf numFmtId="0" fontId="24" fillId="4" borderId="1" xfId="0" applyFont="1" applyFill="1" applyBorder="1" applyAlignment="1" applyProtection="1">
      <alignment horizontal="right" vertical="center" indent="1"/>
      <protection locked="0"/>
    </xf>
    <xf numFmtId="0" fontId="21" fillId="6" borderId="1" xfId="0" applyFont="1" applyFill="1" applyBorder="1" applyAlignment="1" applyProtection="1">
      <alignment horizontal="left" vertical="center"/>
      <protection locked="0"/>
    </xf>
    <xf numFmtId="0" fontId="20" fillId="10" borderId="1" xfId="0" applyFont="1" applyFill="1" applyBorder="1" applyAlignment="1" applyProtection="1">
      <alignment horizontal="center" vertical="center"/>
      <protection locked="0"/>
    </xf>
    <xf numFmtId="0" fontId="20" fillId="5" borderId="1" xfId="0" applyFont="1" applyFill="1" applyBorder="1" applyAlignment="1" applyProtection="1">
      <alignment horizontal="center"/>
      <protection locked="0"/>
    </xf>
    <xf numFmtId="0" fontId="41" fillId="18" borderId="1" xfId="0" applyFont="1" applyFill="1" applyBorder="1" applyAlignment="1" applyProtection="1">
      <alignment horizontal="right" vertical="center" indent="1"/>
      <protection locked="0"/>
    </xf>
    <xf numFmtId="0" fontId="50" fillId="15" borderId="13" xfId="0" applyFont="1" applyFill="1" applyBorder="1" applyAlignment="1" applyProtection="1">
      <alignment horizontal="left" vertical="center" wrapText="1" indent="1"/>
      <protection locked="0"/>
    </xf>
    <xf numFmtId="0" fontId="42" fillId="15" borderId="1" xfId="0" applyFont="1" applyFill="1" applyBorder="1" applyAlignment="1" applyProtection="1">
      <alignment horizontal="left" vertical="top" wrapText="1" indent="1"/>
      <protection locked="0"/>
    </xf>
    <xf numFmtId="0" fontId="23" fillId="0" borderId="1" xfId="0" applyFont="1" applyBorder="1" applyAlignment="1" applyProtection="1">
      <alignment horizontal="left" vertical="center" wrapText="1" indent="1"/>
      <protection locked="0"/>
    </xf>
    <xf numFmtId="0" fontId="30" fillId="5" borderId="1" xfId="0" applyFont="1" applyFill="1" applyBorder="1" applyAlignment="1">
      <alignment horizontal="center" vertical="center" wrapText="1"/>
    </xf>
    <xf numFmtId="0" fontId="18" fillId="8" borderId="1" xfId="0" applyFont="1" applyFill="1" applyBorder="1" applyAlignment="1">
      <alignment horizontal="center" vertical="center" wrapText="1"/>
    </xf>
    <xf numFmtId="0" fontId="29" fillId="2" borderId="1" xfId="0" applyFont="1" applyFill="1" applyBorder="1" applyAlignment="1">
      <alignment horizontal="center" vertical="center"/>
    </xf>
    <xf numFmtId="0" fontId="13" fillId="6" borderId="0" xfId="0" applyFont="1" applyFill="1" applyAlignment="1">
      <alignment horizontal="left" indent="1"/>
    </xf>
    <xf numFmtId="0" fontId="0" fillId="0" borderId="0" xfId="0" applyAlignment="1">
      <alignment vertical="center"/>
    </xf>
    <xf numFmtId="9" fontId="0" fillId="0" borderId="0" xfId="2" applyFont="1"/>
    <xf numFmtId="0" fontId="29" fillId="2" borderId="1" xfId="0" applyFont="1" applyFill="1" applyBorder="1" applyAlignment="1">
      <alignment horizontal="center" vertical="center" wrapText="1"/>
    </xf>
    <xf numFmtId="0" fontId="29" fillId="2" borderId="13" xfId="0" applyFont="1" applyFill="1" applyBorder="1" applyAlignment="1">
      <alignment horizontal="center" vertical="center"/>
    </xf>
    <xf numFmtId="0" fontId="29" fillId="2" borderId="11" xfId="0" applyFont="1" applyFill="1" applyBorder="1" applyAlignment="1">
      <alignment horizontal="center" vertical="center"/>
    </xf>
    <xf numFmtId="0" fontId="3" fillId="8" borderId="1" xfId="0" applyFont="1" applyFill="1" applyBorder="1" applyAlignment="1">
      <alignment horizontal="left" vertical="center"/>
    </xf>
    <xf numFmtId="0" fontId="4" fillId="0" borderId="1" xfId="0" applyFont="1" applyBorder="1" applyAlignment="1">
      <alignment horizontal="left" vertical="center" indent="1"/>
    </xf>
    <xf numFmtId="0" fontId="15" fillId="6" borderId="1" xfId="0" applyFont="1" applyFill="1" applyBorder="1" applyAlignment="1">
      <alignment horizontal="center" vertical="center" wrapText="1"/>
    </xf>
    <xf numFmtId="181" fontId="37" fillId="0" borderId="1" xfId="0" applyNumberFormat="1" applyFont="1" applyBorder="1" applyAlignment="1">
      <alignment horizontal="left" vertical="center" wrapText="1" indent="1"/>
    </xf>
    <xf numFmtId="176" fontId="3" fillId="0" borderId="1" xfId="1" applyNumberFormat="1" applyFont="1" applyBorder="1" applyAlignment="1">
      <alignment horizontal="center" vertical="center" wrapText="1"/>
    </xf>
    <xf numFmtId="0" fontId="37" fillId="0" borderId="1" xfId="0" applyFont="1" applyBorder="1" applyAlignment="1">
      <alignment horizontal="left" vertical="center" wrapText="1" indent="1"/>
    </xf>
    <xf numFmtId="0" fontId="12" fillId="7" borderId="1" xfId="0" applyFont="1" applyFill="1" applyBorder="1" applyAlignment="1">
      <alignment horizontal="center" vertical="center"/>
    </xf>
  </cellXfs>
  <cellStyles count="7">
    <cellStyle name="Comma" xfId="1" builtinId="3"/>
    <cellStyle name="Comma [0]" xfId="6" builtinId="6"/>
    <cellStyle name="Excel Built-in Currency [0]" xfId="5" xr:uid="{00000000-0005-0000-0000-000005000000}"/>
    <cellStyle name="Normal" xfId="0" builtinId="0"/>
    <cellStyle name="Percent" xfId="2" builtinId="5"/>
    <cellStyle name="표준 2" xfId="3" xr:uid="{00000000-0005-0000-0000-000003000000}"/>
    <cellStyle name="표준 3" xfId="4" xr:uid="{00000000-0005-0000-0000-000004000000}"/>
  </cellStyles>
  <dxfs count="9">
    <dxf>
      <font>
        <color rgb="FFFF0000"/>
      </font>
    </dxf>
    <dxf>
      <font>
        <b/>
        <color rgb="FFFF0000"/>
      </font>
      <fill>
        <patternFill patternType="solid">
          <fgColor indexed="64"/>
          <bgColor rgb="FFFFC7CE"/>
        </patternFill>
      </fill>
    </dxf>
    <dxf>
      <font>
        <b/>
        <color rgb="FFFF0000"/>
      </font>
      <fill>
        <patternFill>
          <bgColor rgb="FFFFCCCC"/>
        </patternFill>
      </fill>
    </dxf>
    <dxf>
      <font>
        <b/>
        <color rgb="FFFF0000"/>
      </font>
      <fill>
        <patternFill>
          <bgColor rgb="FFFFCCCC"/>
        </patternFill>
      </fill>
    </dxf>
    <dxf>
      <font>
        <b/>
        <color rgb="FFFF0000"/>
      </font>
      <fill>
        <patternFill>
          <bgColor rgb="FFFFCCCC"/>
        </patternFill>
      </fill>
    </dxf>
    <dxf>
      <font>
        <b/>
        <color rgb="FFFF0000"/>
      </font>
      <fill>
        <patternFill>
          <bgColor rgb="FFFFCCCC"/>
        </patternFill>
      </fill>
    </dxf>
    <dxf>
      <font>
        <b/>
        <color rgb="FFFF0000"/>
      </font>
      <fill>
        <patternFill>
          <bgColor rgb="FFFFCCCC"/>
        </patternFill>
      </fill>
    </dxf>
    <dxf>
      <font>
        <b/>
        <color rgb="FFFF0000"/>
      </font>
      <fill>
        <patternFill>
          <bgColor rgb="FFFFCCCC"/>
        </patternFill>
      </fill>
    </dxf>
    <dxf>
      <font>
        <b/>
        <color rgb="FFFF0000"/>
      </font>
      <fill>
        <patternFill>
          <bgColor rgb="FFFFCC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7F7F7F"/>
      <rgbColor rgb="FF767171"/>
      <rgbColor rgb="FFEFF6EA"/>
      <rgbColor rgb="FFE2EFD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F2F2F2"/>
      <rgbColor rgb="FFE2F0D9"/>
      <rgbColor rgb="FFE7E6E6"/>
      <rgbColor rgb="FFC5E0B4"/>
      <rgbColor rgb="FFFF99CC"/>
      <rgbColor rgb="FFCC99FF"/>
      <rgbColor rgb="FFFFCCCC"/>
      <rgbColor rgb="FF3366FF"/>
      <rgbColor rgb="FF33CCCC"/>
      <rgbColor rgb="FF99CC00"/>
      <rgbColor rgb="FFFFCC00"/>
      <rgbColor rgb="FFFF9900"/>
      <rgbColor rgb="FFFF6600"/>
      <rgbColor rgb="FF757171"/>
      <rgbColor rgb="FFAFABAB"/>
      <rgbColor rgb="FF1F3864"/>
      <rgbColor rgb="FF70AD47"/>
      <rgbColor rgb="FF003300"/>
      <rgbColor rgb="FF333300"/>
      <rgbColor rgb="FF993300"/>
      <rgbColor rgb="FF993366"/>
      <rgbColor rgb="FF333399"/>
      <rgbColor rgb="FF38572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2" displayName="Table12" ref="A1:L17" totalsRowShown="0">
  <autoFilter ref="A1:L17" xr:uid="{00000000-0009-0000-0100-000001000000}"/>
  <tableColumns count="12">
    <tableColumn id="1" xr3:uid="{00000000-0010-0000-0000-000001000000}" name="_01000_Child_Sponsorship_Mgt."/>
    <tableColumn id="2" xr3:uid="{00000000-0010-0000-0000-000002000000}" name="_02000_Education"/>
    <tableColumn id="3" xr3:uid="{00000000-0010-0000-0000-000003000000}" name="_03000_Health"/>
    <tableColumn id="4" xr3:uid="{00000000-0010-0000-0000-000004000000}" name="_05000_Income_Generation"/>
    <tableColumn id="5" xr3:uid="{00000000-0010-0000-0000-000005000000}" name="_06000_Partnership_Network"/>
    <tableColumn id="6" xr3:uid="{00000000-0010-0000-0000-000006000000}" name="_07000_Advocacy"/>
    <tableColumn id="7" xr3:uid="{00000000-0010-0000-0000-000007000000}" name="_08000_Environment"/>
    <tableColumn id="8" xr3:uid="{00000000-0010-0000-0000-000008000000}" name="_09000_Humanitarian_Assistance"/>
    <tableColumn id="9" xr3:uid="{00000000-0010-0000-0000-000009000000}" name="_80000_R_and_D"/>
    <tableColumn id="10" xr3:uid="{00000000-0010-0000-0000-00000A000000}" name="_90000_Fundraising_Program"/>
    <tableColumn id="11" xr3:uid="{00000000-0010-0000-0000-00000B000000}" name="_95000_Project_Management"/>
    <tableColumn id="12" xr3:uid="{00000000-0010-0000-0000-00000C000000}" name="_99000_Office_Managemen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57D9407-E99D-4A06-8015-E5EFC595421B}">
  <we:reference id="wa200009404" version="1.0.0.8" store="en-US" storeType="OMEX"/>
  <we:alternateReferences>
    <we:reference id="WA200009404" version="1.0.0.8" store="" storeType="OMEX"/>
  </we:alternateReferences>
  <we:properties>
    <we:property name="claude.fileId" value="&quot;7685655d-3358-4769-8db9-0ec5ed1a6bd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3"/>
  <sheetViews>
    <sheetView view="pageBreakPreview" topLeftCell="A5" zoomScaleNormal="100" zoomScaleSheetLayoutView="100" zoomScalePageLayoutView="115" workbookViewId="0">
      <selection activeCell="E42" sqref="E42"/>
    </sheetView>
  </sheetViews>
  <sheetFormatPr defaultColWidth="9" defaultRowHeight="13.8"/>
  <cols>
    <col min="1" max="1" width="9" style="71" customWidth="1"/>
    <col min="2" max="2" width="3.69921875" style="71" customWidth="1"/>
    <col min="3" max="3" width="4.3984375" style="71" customWidth="1"/>
    <col min="4" max="4" width="27.3984375" style="71" customWidth="1"/>
    <col min="5" max="6" width="9" style="71" customWidth="1"/>
    <col min="7" max="16384" width="9" style="71"/>
  </cols>
  <sheetData>
    <row r="1" spans="1:10">
      <c r="A1" s="1"/>
      <c r="B1" s="1"/>
      <c r="C1" s="1"/>
      <c r="D1" s="1"/>
      <c r="E1" s="1"/>
      <c r="F1" s="1"/>
      <c r="G1" s="1"/>
      <c r="H1" s="1"/>
      <c r="I1" s="1"/>
      <c r="J1" s="1"/>
    </row>
    <row r="2" spans="1:10">
      <c r="A2" s="1"/>
      <c r="B2" s="1"/>
      <c r="C2" s="1"/>
      <c r="D2" s="1"/>
      <c r="E2" s="1"/>
      <c r="F2" s="1"/>
      <c r="G2" s="1"/>
      <c r="H2" s="1"/>
      <c r="I2" s="1"/>
      <c r="J2" s="1"/>
    </row>
    <row r="3" spans="1:10" ht="13.5" customHeight="1">
      <c r="A3" s="1"/>
      <c r="B3" s="185" t="s">
        <v>0</v>
      </c>
      <c r="C3" s="186"/>
      <c r="D3" s="186"/>
      <c r="E3" s="186"/>
      <c r="F3" s="186"/>
      <c r="G3" s="186"/>
      <c r="H3" s="186"/>
      <c r="I3" s="186"/>
      <c r="J3" s="186"/>
    </row>
    <row r="4" spans="1:10">
      <c r="A4" s="1"/>
      <c r="B4" s="186"/>
      <c r="C4" s="186"/>
      <c r="D4" s="186"/>
      <c r="E4" s="186"/>
      <c r="F4" s="186"/>
      <c r="G4" s="186"/>
      <c r="H4" s="186"/>
      <c r="I4" s="186"/>
      <c r="J4" s="186"/>
    </row>
    <row r="5" spans="1:10">
      <c r="A5" s="1"/>
      <c r="B5" s="186"/>
      <c r="C5" s="186"/>
      <c r="D5" s="186"/>
      <c r="E5" s="186"/>
      <c r="F5" s="186"/>
      <c r="G5" s="186"/>
      <c r="H5" s="186"/>
      <c r="I5" s="186"/>
      <c r="J5" s="186"/>
    </row>
    <row r="6" spans="1:10" ht="21" customHeight="1">
      <c r="A6" s="1"/>
      <c r="B6" s="1"/>
      <c r="C6" s="2"/>
      <c r="D6" s="2"/>
      <c r="E6" s="2"/>
      <c r="F6" s="2"/>
      <c r="G6" s="2"/>
      <c r="H6" s="2"/>
      <c r="I6" s="2"/>
      <c r="J6" s="1"/>
    </row>
    <row r="7" spans="1:10" ht="17.25" customHeight="1">
      <c r="A7" s="3"/>
      <c r="B7" s="72" t="s">
        <v>1</v>
      </c>
      <c r="C7" s="72"/>
      <c r="D7" s="72"/>
      <c r="E7" s="184"/>
      <c r="F7" s="181"/>
      <c r="G7" s="181"/>
      <c r="H7" s="181"/>
      <c r="I7" s="181"/>
      <c r="J7" s="182"/>
    </row>
    <row r="8" spans="1:10" ht="17.25" customHeight="1">
      <c r="A8" s="3"/>
      <c r="B8" s="183" t="s">
        <v>2</v>
      </c>
      <c r="C8" s="178"/>
      <c r="D8" s="179"/>
      <c r="E8" s="184"/>
      <c r="F8" s="181"/>
      <c r="G8" s="181"/>
      <c r="H8" s="181"/>
      <c r="I8" s="181"/>
      <c r="J8" s="182"/>
    </row>
    <row r="9" spans="1:10" ht="17.25" customHeight="1">
      <c r="A9" s="3"/>
      <c r="B9" s="183" t="s">
        <v>3</v>
      </c>
      <c r="C9" s="178"/>
      <c r="D9" s="179"/>
      <c r="E9" s="184"/>
      <c r="F9" s="181"/>
      <c r="G9" s="181"/>
      <c r="H9" s="181"/>
      <c r="I9" s="181"/>
      <c r="J9" s="182"/>
    </row>
    <row r="10" spans="1:10" ht="17.25" customHeight="1">
      <c r="A10" s="3"/>
      <c r="B10" s="183" t="s">
        <v>4</v>
      </c>
      <c r="C10" s="178"/>
      <c r="D10" s="179"/>
      <c r="E10" s="184"/>
      <c r="F10" s="181"/>
      <c r="G10" s="181"/>
      <c r="H10" s="181"/>
      <c r="I10" s="181"/>
      <c r="J10" s="182"/>
    </row>
    <row r="11" spans="1:10" ht="17.25" customHeight="1">
      <c r="A11" s="3"/>
      <c r="B11" s="177" t="s">
        <v>5</v>
      </c>
      <c r="C11" s="178"/>
      <c r="D11" s="179"/>
      <c r="E11" s="180" t="s">
        <v>6</v>
      </c>
      <c r="F11" s="181"/>
      <c r="G11" s="182"/>
      <c r="H11" s="180" t="s">
        <v>7</v>
      </c>
      <c r="I11" s="181"/>
      <c r="J11" s="182"/>
    </row>
    <row r="12" spans="1:10" ht="17.25" customHeight="1">
      <c r="A12" s="3"/>
      <c r="B12" s="177" t="s">
        <v>8</v>
      </c>
      <c r="C12" s="178"/>
      <c r="D12" s="179"/>
      <c r="E12" s="180" t="s">
        <v>6</v>
      </c>
      <c r="F12" s="181"/>
      <c r="G12" s="182"/>
      <c r="H12" s="180" t="s">
        <v>7</v>
      </c>
      <c r="I12" s="181"/>
      <c r="J12" s="182"/>
    </row>
    <row r="13" spans="1:10" ht="17.25" customHeight="1">
      <c r="A13" s="3"/>
      <c r="B13" s="177" t="s">
        <v>9</v>
      </c>
      <c r="C13" s="178"/>
      <c r="D13" s="179"/>
      <c r="E13" s="180" t="s">
        <v>6</v>
      </c>
      <c r="F13" s="181"/>
      <c r="G13" s="182"/>
      <c r="H13" s="180" t="s">
        <v>7</v>
      </c>
      <c r="I13" s="181"/>
      <c r="J13" s="182"/>
    </row>
    <row r="14" spans="1:10" ht="17.25" customHeight="1">
      <c r="A14" s="1"/>
      <c r="B14" s="177" t="s">
        <v>10</v>
      </c>
      <c r="C14" s="178"/>
      <c r="D14" s="179"/>
      <c r="E14" s="187" t="s">
        <v>11</v>
      </c>
      <c r="F14" s="181"/>
      <c r="G14" s="181"/>
      <c r="H14" s="181"/>
      <c r="I14" s="181"/>
      <c r="J14" s="182"/>
    </row>
    <row r="15" spans="1:10">
      <c r="A15" s="1"/>
      <c r="B15" s="1"/>
      <c r="C15" s="4"/>
      <c r="D15" s="4"/>
      <c r="E15" s="1"/>
      <c r="F15" s="1"/>
      <c r="G15" s="1"/>
      <c r="H15" s="1"/>
      <c r="I15" s="1"/>
      <c r="J15" s="1"/>
    </row>
    <row r="16" spans="1:10">
      <c r="B16" s="5"/>
      <c r="C16" s="6"/>
      <c r="D16" s="6"/>
      <c r="E16" s="6"/>
      <c r="F16" s="6"/>
      <c r="G16" s="6"/>
      <c r="H16" s="6"/>
      <c r="I16" s="6"/>
      <c r="J16" s="7"/>
    </row>
    <row r="17" spans="2:10" ht="17.25" customHeight="1">
      <c r="B17" s="174" t="s">
        <v>12</v>
      </c>
      <c r="C17" s="175"/>
      <c r="D17" s="175"/>
      <c r="E17" s="175"/>
      <c r="F17" s="175"/>
      <c r="G17" s="175"/>
      <c r="H17" s="175"/>
      <c r="I17" s="175"/>
      <c r="J17" s="176"/>
    </row>
    <row r="18" spans="2:10">
      <c r="B18" s="8"/>
      <c r="C18" s="165"/>
      <c r="D18" s="165"/>
      <c r="E18" s="165"/>
      <c r="F18" s="165"/>
      <c r="G18" s="165"/>
      <c r="H18" s="165"/>
      <c r="I18" s="165"/>
      <c r="J18" s="9"/>
    </row>
    <row r="19" spans="2:10">
      <c r="B19" s="8"/>
      <c r="C19" s="166" t="s">
        <v>13</v>
      </c>
      <c r="D19" s="165"/>
      <c r="E19" s="165"/>
      <c r="F19" s="165"/>
      <c r="G19" s="165"/>
      <c r="H19" s="165"/>
      <c r="I19" s="165"/>
      <c r="J19" s="9"/>
    </row>
    <row r="20" spans="2:10">
      <c r="B20" s="8"/>
      <c r="C20" s="165"/>
      <c r="D20" s="165"/>
      <c r="E20" s="165"/>
      <c r="F20" s="165"/>
      <c r="G20" s="165"/>
      <c r="H20" s="165"/>
      <c r="I20" s="165"/>
      <c r="J20" s="9"/>
    </row>
    <row r="21" spans="2:10">
      <c r="B21" s="8"/>
      <c r="C21" s="166" t="s">
        <v>14</v>
      </c>
      <c r="D21" s="165"/>
      <c r="E21" s="165"/>
      <c r="F21" s="165"/>
      <c r="G21" s="165"/>
      <c r="H21" s="165"/>
      <c r="I21" s="165"/>
      <c r="J21" s="9"/>
    </row>
    <row r="22" spans="2:10">
      <c r="B22" s="8"/>
      <c r="C22" s="165"/>
      <c r="D22" s="167" t="s">
        <v>585</v>
      </c>
      <c r="E22" s="165"/>
      <c r="F22" s="165"/>
      <c r="G22" s="165"/>
      <c r="H22" s="165"/>
      <c r="I22" s="165"/>
      <c r="J22" s="9"/>
    </row>
    <row r="23" spans="2:10">
      <c r="B23" s="8"/>
      <c r="C23" s="165"/>
      <c r="D23" s="167" t="s">
        <v>586</v>
      </c>
      <c r="E23" s="165"/>
      <c r="F23" s="165"/>
      <c r="G23" s="165"/>
      <c r="H23" s="165"/>
      <c r="I23" s="165"/>
      <c r="J23" s="9"/>
    </row>
    <row r="24" spans="2:10">
      <c r="B24" s="8"/>
      <c r="C24" s="165"/>
      <c r="D24" s="167" t="s">
        <v>17</v>
      </c>
      <c r="E24" s="165"/>
      <c r="F24" s="165"/>
      <c r="G24" s="165"/>
      <c r="H24" s="165"/>
      <c r="I24" s="165"/>
      <c r="J24" s="9"/>
    </row>
    <row r="25" spans="2:10">
      <c r="B25" s="8"/>
      <c r="C25" s="165"/>
      <c r="D25" s="165"/>
      <c r="E25" s="165"/>
      <c r="F25" s="165"/>
      <c r="G25" s="165"/>
      <c r="H25" s="165"/>
      <c r="I25" s="165"/>
      <c r="J25" s="9"/>
    </row>
    <row r="26" spans="2:10">
      <c r="B26" s="8"/>
      <c r="C26" s="166" t="s">
        <v>18</v>
      </c>
      <c r="D26" s="165"/>
      <c r="E26" s="165"/>
      <c r="F26" s="165"/>
      <c r="G26" s="165"/>
      <c r="H26" s="165"/>
      <c r="I26" s="165"/>
      <c r="J26" s="9"/>
    </row>
    <row r="27" spans="2:10">
      <c r="B27" s="8"/>
      <c r="C27" s="165"/>
      <c r="D27" s="167" t="s">
        <v>587</v>
      </c>
      <c r="E27" s="165"/>
      <c r="F27" s="165"/>
      <c r="G27" s="165"/>
      <c r="H27" s="165"/>
      <c r="I27" s="165"/>
      <c r="J27" s="9"/>
    </row>
    <row r="28" spans="2:10">
      <c r="B28" s="8"/>
      <c r="C28" s="165"/>
      <c r="D28" s="167" t="s">
        <v>91</v>
      </c>
      <c r="E28" s="165"/>
      <c r="F28" s="165"/>
      <c r="G28" s="165"/>
      <c r="H28" s="165"/>
      <c r="I28" s="165"/>
      <c r="J28" s="9"/>
    </row>
    <row r="29" spans="2:10">
      <c r="B29" s="8"/>
      <c r="C29" s="165"/>
      <c r="D29" s="167" t="s">
        <v>588</v>
      </c>
      <c r="E29" s="165"/>
      <c r="F29" s="165"/>
      <c r="G29" s="165"/>
      <c r="H29" s="165"/>
      <c r="I29" s="165"/>
      <c r="J29" s="9"/>
    </row>
    <row r="30" spans="2:10">
      <c r="B30" s="8"/>
      <c r="C30" s="165"/>
      <c r="D30" s="167" t="s">
        <v>589</v>
      </c>
      <c r="E30" s="165"/>
      <c r="F30" s="165"/>
      <c r="G30" s="165"/>
      <c r="H30" s="165"/>
      <c r="I30" s="165"/>
      <c r="J30" s="9"/>
    </row>
    <row r="31" spans="2:10">
      <c r="B31" s="8"/>
      <c r="C31" s="165"/>
      <c r="D31" s="165"/>
      <c r="E31" s="165"/>
      <c r="F31" s="165"/>
      <c r="G31" s="165"/>
      <c r="H31" s="165"/>
      <c r="I31" s="165"/>
      <c r="J31" s="9"/>
    </row>
    <row r="32" spans="2:10">
      <c r="B32" s="8"/>
      <c r="C32" s="166" t="s">
        <v>19</v>
      </c>
      <c r="D32" s="165"/>
      <c r="E32" s="165"/>
      <c r="F32" s="165"/>
      <c r="G32" s="165"/>
      <c r="H32" s="165"/>
      <c r="I32" s="165"/>
      <c r="J32" s="9"/>
    </row>
    <row r="33" spans="2:10">
      <c r="B33" s="8"/>
      <c r="C33" s="166"/>
      <c r="D33" s="167" t="s">
        <v>593</v>
      </c>
      <c r="E33" s="165"/>
      <c r="F33" s="165"/>
      <c r="G33" s="165"/>
      <c r="H33" s="165"/>
      <c r="I33" s="165"/>
      <c r="J33" s="9"/>
    </row>
    <row r="34" spans="2:10" s="161" customFormat="1">
      <c r="B34" s="8"/>
      <c r="C34" s="166"/>
      <c r="D34" s="167" t="s">
        <v>594</v>
      </c>
      <c r="E34" s="165"/>
      <c r="F34" s="165"/>
      <c r="G34" s="165"/>
      <c r="H34" s="165"/>
      <c r="I34" s="165"/>
      <c r="J34" s="9"/>
    </row>
    <row r="35" spans="2:10">
      <c r="B35" s="8"/>
      <c r="C35" s="165"/>
      <c r="D35" s="167" t="s">
        <v>595</v>
      </c>
      <c r="E35" s="165"/>
      <c r="F35" s="165"/>
      <c r="G35" s="165"/>
      <c r="H35" s="165"/>
      <c r="I35" s="165"/>
      <c r="J35" s="9"/>
    </row>
    <row r="36" spans="2:10">
      <c r="B36" s="8"/>
      <c r="C36" s="165"/>
      <c r="D36" s="167"/>
      <c r="E36" s="165"/>
      <c r="F36" s="165"/>
      <c r="G36" s="165"/>
      <c r="H36" s="165"/>
      <c r="I36" s="165"/>
      <c r="J36" s="9"/>
    </row>
    <row r="37" spans="2:10">
      <c r="B37" s="8"/>
      <c r="C37" s="166" t="s">
        <v>20</v>
      </c>
      <c r="D37" s="167"/>
      <c r="E37" s="165"/>
      <c r="F37" s="165"/>
      <c r="G37" s="165"/>
      <c r="H37" s="165"/>
      <c r="I37" s="165"/>
      <c r="J37" s="9"/>
    </row>
    <row r="38" spans="2:10">
      <c r="B38" s="8"/>
      <c r="C38" s="166"/>
      <c r="D38" s="168" t="s">
        <v>592</v>
      </c>
      <c r="E38" s="165"/>
      <c r="F38" s="165"/>
      <c r="G38" s="165"/>
      <c r="H38" s="165"/>
      <c r="I38" s="165"/>
      <c r="J38" s="9"/>
    </row>
    <row r="39" spans="2:10">
      <c r="B39" s="8"/>
      <c r="C39" s="165"/>
      <c r="D39" s="168" t="s">
        <v>590</v>
      </c>
      <c r="E39" s="165"/>
      <c r="F39" s="165"/>
      <c r="G39" s="165"/>
      <c r="H39" s="165"/>
      <c r="I39" s="165"/>
      <c r="J39" s="9"/>
    </row>
    <row r="40" spans="2:10" s="161" customFormat="1">
      <c r="B40" s="8"/>
      <c r="C40" s="165"/>
      <c r="D40" s="168" t="s">
        <v>591</v>
      </c>
      <c r="E40" s="165"/>
      <c r="F40" s="165"/>
      <c r="G40" s="165"/>
      <c r="H40" s="165"/>
      <c r="I40" s="165"/>
      <c r="J40" s="9"/>
    </row>
    <row r="41" spans="2:10" s="161" customFormat="1">
      <c r="B41" s="8"/>
      <c r="C41" s="165"/>
      <c r="D41" s="167"/>
      <c r="E41" s="165"/>
      <c r="F41" s="165"/>
      <c r="G41" s="165"/>
      <c r="H41" s="165"/>
      <c r="I41" s="165"/>
      <c r="J41" s="9"/>
    </row>
    <row r="42" spans="2:10" s="161" customFormat="1">
      <c r="B42" s="8"/>
      <c r="C42" s="166" t="s">
        <v>21</v>
      </c>
      <c r="D42" s="167"/>
      <c r="E42" s="165"/>
      <c r="F42" s="165"/>
      <c r="G42" s="165"/>
      <c r="H42" s="165"/>
      <c r="I42" s="165"/>
      <c r="J42" s="9"/>
    </row>
    <row r="43" spans="2:10">
      <c r="B43" s="10"/>
      <c r="C43" s="11"/>
      <c r="D43" s="11"/>
      <c r="E43" s="11"/>
      <c r="F43" s="11"/>
      <c r="G43" s="11"/>
      <c r="H43" s="11"/>
      <c r="I43" s="11"/>
      <c r="J43" s="12"/>
    </row>
  </sheetData>
  <mergeCells count="20">
    <mergeCell ref="E7:J7"/>
    <mergeCell ref="E12:G12"/>
    <mergeCell ref="B3:J5"/>
    <mergeCell ref="E14:J14"/>
    <mergeCell ref="E8:J8"/>
    <mergeCell ref="B12:D12"/>
    <mergeCell ref="B8:D8"/>
    <mergeCell ref="E9:J9"/>
    <mergeCell ref="B9:D9"/>
    <mergeCell ref="B17:J17"/>
    <mergeCell ref="B13:D13"/>
    <mergeCell ref="H11:J11"/>
    <mergeCell ref="B10:D10"/>
    <mergeCell ref="E11:G11"/>
    <mergeCell ref="H13:J13"/>
    <mergeCell ref="H12:J12"/>
    <mergeCell ref="B11:D11"/>
    <mergeCell ref="B14:D14"/>
    <mergeCell ref="E10:J10"/>
    <mergeCell ref="E13:G13"/>
  </mergeCells>
  <phoneticPr fontId="39" type="noConversion"/>
  <dataValidations count="2">
    <dataValidation type="list" allowBlank="1" showInputMessage="1" showErrorMessage="1" sqref="E10:J10" xr:uid="{00000000-0002-0000-0000-000000000000}">
      <formula1>Design_Type</formula1>
      <formula2>0</formula2>
    </dataValidation>
    <dataValidation type="list" allowBlank="1" showInputMessage="1" showErrorMessage="1" sqref="E9:J9" xr:uid="{00000000-0002-0000-0000-000001000000}">
      <formula1>Project_Type</formula1>
      <formula2>0</formula2>
    </dataValidation>
  </dataValidations>
  <pageMargins left="0.7" right="0.7" top="0.75" bottom="0.75" header="0.511811023622047" footer="0.511811023622047"/>
  <pageSetup paperSize="9" scale="47"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
  <sheetViews>
    <sheetView view="pageBreakPreview" zoomScale="90" zoomScaleNormal="100" zoomScalePageLayoutView="90" workbookViewId="0">
      <selection activeCell="B7" sqref="B7:C7"/>
    </sheetView>
  </sheetViews>
  <sheetFormatPr defaultColWidth="8.69921875" defaultRowHeight="13.8"/>
  <cols>
    <col min="1" max="1" width="21.3984375" style="13" customWidth="1"/>
    <col min="2" max="2" width="27.296875" style="73" customWidth="1"/>
    <col min="3" max="3" width="25.3984375" style="74" customWidth="1"/>
    <col min="4" max="4" width="4.3984375" style="74" customWidth="1"/>
    <col min="5" max="6" width="25.3984375" style="74" customWidth="1"/>
    <col min="7" max="8" width="8.69921875" style="74" customWidth="1"/>
    <col min="9" max="16384" width="8.69921875" style="74"/>
  </cols>
  <sheetData>
    <row r="1" spans="1:6" ht="19.5" customHeight="1">
      <c r="A1" s="196" t="s">
        <v>13</v>
      </c>
      <c r="B1" s="197"/>
      <c r="C1" s="198"/>
      <c r="D1" s="198"/>
      <c r="E1" s="198"/>
      <c r="F1" s="198"/>
    </row>
    <row r="2" spans="1:6" ht="19.5" customHeight="1">
      <c r="A2" s="75" t="s">
        <v>22</v>
      </c>
      <c r="B2" s="199" t="s">
        <v>23</v>
      </c>
      <c r="C2" s="178"/>
      <c r="D2" s="178"/>
      <c r="E2" s="178"/>
      <c r="F2" s="179"/>
    </row>
    <row r="3" spans="1:6" ht="19.5" customHeight="1">
      <c r="A3" s="200" t="s">
        <v>24</v>
      </c>
      <c r="B3" s="14" t="s">
        <v>25</v>
      </c>
      <c r="C3" s="188"/>
      <c r="D3" s="178"/>
      <c r="E3" s="178"/>
      <c r="F3" s="179"/>
    </row>
    <row r="4" spans="1:6" ht="19.5" customHeight="1">
      <c r="A4" s="190"/>
      <c r="B4" s="14" t="s">
        <v>26</v>
      </c>
      <c r="C4" s="201"/>
      <c r="D4" s="178"/>
      <c r="E4" s="178"/>
      <c r="F4" s="179"/>
    </row>
    <row r="5" spans="1:6" ht="22.5" customHeight="1">
      <c r="A5" s="190"/>
      <c r="B5" s="15" t="s">
        <v>27</v>
      </c>
      <c r="C5" s="188"/>
      <c r="D5" s="178"/>
      <c r="E5" s="178"/>
      <c r="F5" s="179"/>
    </row>
    <row r="6" spans="1:6" ht="222.75" customHeight="1">
      <c r="A6" s="194"/>
      <c r="B6" s="195" t="s">
        <v>28</v>
      </c>
      <c r="C6" s="178"/>
      <c r="D6" s="178"/>
      <c r="E6" s="178"/>
      <c r="F6" s="179"/>
    </row>
    <row r="7" spans="1:6" ht="33" customHeight="1">
      <c r="A7" s="78" t="s">
        <v>29</v>
      </c>
      <c r="B7" s="191"/>
      <c r="C7" s="179"/>
      <c r="D7" s="16" t="s">
        <v>30</v>
      </c>
      <c r="E7" s="191"/>
      <c r="F7" s="179"/>
    </row>
    <row r="8" spans="1:6" ht="30" customHeight="1">
      <c r="A8" s="78" t="s">
        <v>31</v>
      </c>
      <c r="B8" s="191"/>
      <c r="C8" s="178"/>
      <c r="D8" s="178"/>
      <c r="E8" s="178"/>
      <c r="F8" s="179"/>
    </row>
    <row r="9" spans="1:6" ht="19.5" customHeight="1">
      <c r="A9" s="189" t="s">
        <v>32</v>
      </c>
      <c r="B9" s="193" t="s">
        <v>33</v>
      </c>
      <c r="C9" s="77" t="s">
        <v>34</v>
      </c>
      <c r="D9" s="192"/>
      <c r="E9" s="178"/>
      <c r="F9" s="179"/>
    </row>
    <row r="10" spans="1:6" ht="19.5" customHeight="1">
      <c r="A10" s="190"/>
      <c r="B10" s="194"/>
      <c r="C10" s="77" t="s">
        <v>35</v>
      </c>
      <c r="D10" s="192"/>
      <c r="E10" s="178"/>
      <c r="F10" s="179"/>
    </row>
    <row r="11" spans="1:6" ht="19.5" customHeight="1">
      <c r="A11" s="190"/>
      <c r="B11" s="193" t="s">
        <v>36</v>
      </c>
      <c r="C11" s="77" t="s">
        <v>37</v>
      </c>
      <c r="D11" s="192"/>
      <c r="E11" s="178"/>
      <c r="F11" s="179"/>
    </row>
    <row r="12" spans="1:6" ht="19.5" customHeight="1">
      <c r="A12" s="190"/>
      <c r="B12" s="194"/>
      <c r="C12" s="77" t="s">
        <v>38</v>
      </c>
      <c r="D12" s="192"/>
      <c r="E12" s="178"/>
      <c r="F12" s="179"/>
    </row>
    <row r="13" spans="1:6" ht="19.5" customHeight="1">
      <c r="A13" s="200" t="s">
        <v>39</v>
      </c>
      <c r="B13" s="193" t="s">
        <v>37</v>
      </c>
      <c r="C13" s="179"/>
      <c r="D13" s="192"/>
      <c r="E13" s="178"/>
      <c r="F13" s="179"/>
    </row>
    <row r="14" spans="1:6" ht="19.5" customHeight="1">
      <c r="A14" s="194"/>
      <c r="B14" s="193" t="s">
        <v>38</v>
      </c>
      <c r="C14" s="179"/>
      <c r="D14" s="192"/>
      <c r="E14" s="178"/>
      <c r="F14" s="179"/>
    </row>
    <row r="15" spans="1:6" ht="212.25" customHeight="1">
      <c r="A15" s="76" t="s">
        <v>40</v>
      </c>
      <c r="B15" s="195" t="s">
        <v>41</v>
      </c>
      <c r="C15" s="178"/>
      <c r="D15" s="178"/>
      <c r="E15" s="178"/>
      <c r="F15" s="179"/>
    </row>
  </sheetData>
  <mergeCells count="23">
    <mergeCell ref="B15:F15"/>
    <mergeCell ref="A1:F1"/>
    <mergeCell ref="B2:F2"/>
    <mergeCell ref="D12:F12"/>
    <mergeCell ref="A3:A6"/>
    <mergeCell ref="D9:F9"/>
    <mergeCell ref="B14:C14"/>
    <mergeCell ref="B8:F8"/>
    <mergeCell ref="C5:F5"/>
    <mergeCell ref="B13:C13"/>
    <mergeCell ref="B9:B10"/>
    <mergeCell ref="D14:F14"/>
    <mergeCell ref="C4:F4"/>
    <mergeCell ref="A13:A14"/>
    <mergeCell ref="D10:F10"/>
    <mergeCell ref="B6:F6"/>
    <mergeCell ref="C3:F3"/>
    <mergeCell ref="A9:A12"/>
    <mergeCell ref="E7:F7"/>
    <mergeCell ref="D13:F13"/>
    <mergeCell ref="D11:F11"/>
    <mergeCell ref="B7:C7"/>
    <mergeCell ref="B11:B12"/>
  </mergeCells>
  <phoneticPr fontId="39" type="noConversion"/>
  <pageMargins left="0.7" right="0.7" top="0.75" bottom="0.75" header="0.511811023622047" footer="0.511811023622047"/>
  <pageSetup paperSize="9" scale="53"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0"/>
  <sheetViews>
    <sheetView view="pageBreakPreview" topLeftCell="A12" zoomScale="55" zoomScaleNormal="100" zoomScaleSheetLayoutView="55" zoomScalePageLayoutView="85" workbookViewId="0">
      <selection activeCell="F20" sqref="F20:H20"/>
    </sheetView>
  </sheetViews>
  <sheetFormatPr defaultColWidth="8.69921875" defaultRowHeight="13.8"/>
  <cols>
    <col min="1" max="1" width="28.3984375" style="74" customWidth="1"/>
    <col min="2" max="2" width="25.3984375" style="74" customWidth="1"/>
    <col min="3" max="3" width="3.69921875" style="74" customWidth="1"/>
    <col min="4" max="4" width="22.3984375" style="74" customWidth="1"/>
    <col min="5" max="5" width="24.5" style="74" customWidth="1"/>
    <col min="6" max="7" width="25.3984375" style="74" customWidth="1"/>
    <col min="8" max="8" width="26.69921875" style="74" customWidth="1"/>
    <col min="9" max="10" width="8.69921875" style="74" customWidth="1"/>
    <col min="11" max="16384" width="8.69921875" style="74"/>
  </cols>
  <sheetData>
    <row r="1" spans="1:8" ht="18" customHeight="1">
      <c r="A1" s="214" t="s">
        <v>14</v>
      </c>
      <c r="B1" s="211"/>
      <c r="C1" s="211"/>
      <c r="D1" s="211"/>
      <c r="E1" s="211"/>
      <c r="F1" s="211"/>
      <c r="G1" s="211"/>
      <c r="H1" s="211"/>
    </row>
    <row r="2" spans="1:8" s="71" customFormat="1" ht="19.5" customHeight="1">
      <c r="A2" s="204" t="s">
        <v>15</v>
      </c>
      <c r="B2" s="178"/>
      <c r="C2" s="178"/>
      <c r="D2" s="178"/>
      <c r="E2" s="178"/>
      <c r="F2" s="178"/>
      <c r="G2" s="178"/>
      <c r="H2" s="179"/>
    </row>
    <row r="3" spans="1:8" s="17" customFormat="1" ht="27" customHeight="1">
      <c r="A3" s="203" t="s">
        <v>42</v>
      </c>
      <c r="B3" s="178"/>
      <c r="C3" s="178"/>
      <c r="D3" s="178"/>
      <c r="E3" s="216">
        <f>A5+B5+C5+E5+F5+G5+H5</f>
        <v>0</v>
      </c>
      <c r="F3" s="178"/>
      <c r="G3" s="178"/>
      <c r="H3" s="179"/>
    </row>
    <row r="4" spans="1:8" s="71" customFormat="1" ht="30" customHeight="1">
      <c r="A4" s="79" t="s">
        <v>43</v>
      </c>
      <c r="B4" s="79" t="s">
        <v>44</v>
      </c>
      <c r="C4" s="215" t="s">
        <v>45</v>
      </c>
      <c r="D4" s="179"/>
      <c r="E4" s="18" t="s">
        <v>46</v>
      </c>
      <c r="F4" s="18" t="s">
        <v>47</v>
      </c>
      <c r="G4" s="18" t="s">
        <v>48</v>
      </c>
      <c r="H4" s="18" t="s">
        <v>49</v>
      </c>
    </row>
    <row r="5" spans="1:8" s="71" customFormat="1" ht="30" customHeight="1">
      <c r="A5" s="118"/>
      <c r="B5" s="118"/>
      <c r="C5" s="205"/>
      <c r="D5" s="179"/>
      <c r="E5" s="118"/>
      <c r="F5" s="118"/>
      <c r="G5" s="118"/>
      <c r="H5" s="118"/>
    </row>
    <row r="6" spans="1:8" s="71" customFormat="1" ht="30" customHeight="1">
      <c r="A6" s="79" t="s">
        <v>50</v>
      </c>
      <c r="B6" s="86" t="s">
        <v>51</v>
      </c>
      <c r="C6" s="203" t="s">
        <v>52</v>
      </c>
      <c r="D6" s="178"/>
      <c r="E6" s="86" t="s">
        <v>53</v>
      </c>
      <c r="F6" s="86" t="s">
        <v>54</v>
      </c>
      <c r="G6" s="79" t="s">
        <v>55</v>
      </c>
      <c r="H6" s="79" t="s">
        <v>56</v>
      </c>
    </row>
    <row r="7" spans="1:8" s="71" customFormat="1" ht="30" customHeight="1">
      <c r="A7" s="80"/>
      <c r="B7" s="19"/>
      <c r="C7" s="218"/>
      <c r="D7" s="179"/>
      <c r="E7" s="19"/>
      <c r="F7" s="20"/>
      <c r="G7" s="20"/>
      <c r="H7" s="20"/>
    </row>
    <row r="8" spans="1:8" s="71" customFormat="1" ht="19.5" customHeight="1">
      <c r="A8" s="204" t="s">
        <v>16</v>
      </c>
      <c r="B8" s="178"/>
      <c r="C8" s="178"/>
      <c r="D8" s="178"/>
      <c r="E8" s="178"/>
      <c r="F8" s="178"/>
      <c r="G8" s="178"/>
      <c r="H8" s="179"/>
    </row>
    <row r="9" spans="1:8" s="71" customFormat="1" ht="34.5" customHeight="1">
      <c r="A9" s="86" t="s">
        <v>57</v>
      </c>
      <c r="B9" s="21" t="s">
        <v>58</v>
      </c>
      <c r="C9" s="217" t="s">
        <v>59</v>
      </c>
      <c r="D9" s="215" t="s">
        <v>60</v>
      </c>
      <c r="E9" s="178"/>
      <c r="F9" s="178"/>
      <c r="G9" s="178"/>
      <c r="H9" s="179"/>
    </row>
    <row r="10" spans="1:8" s="71" customFormat="1" ht="87.75" customHeight="1">
      <c r="A10" s="22"/>
      <c r="B10" s="83"/>
      <c r="C10" s="190"/>
      <c r="D10" s="206" t="s">
        <v>61</v>
      </c>
      <c r="E10" s="207"/>
      <c r="F10" s="207"/>
      <c r="G10" s="207"/>
      <c r="H10" s="208"/>
    </row>
    <row r="11" spans="1:8" s="71" customFormat="1" ht="78" customHeight="1">
      <c r="A11" s="22"/>
      <c r="B11" s="83"/>
      <c r="C11" s="190"/>
      <c r="D11" s="209"/>
      <c r="E11" s="186"/>
      <c r="F11" s="186"/>
      <c r="G11" s="186"/>
      <c r="H11" s="176"/>
    </row>
    <row r="12" spans="1:8" s="71" customFormat="1" ht="78" customHeight="1">
      <c r="A12" s="22"/>
      <c r="B12" s="83"/>
      <c r="C12" s="190"/>
      <c r="D12" s="209"/>
      <c r="E12" s="186"/>
      <c r="F12" s="186"/>
      <c r="G12" s="186"/>
      <c r="H12" s="176"/>
    </row>
    <row r="13" spans="1:8" s="71" customFormat="1" ht="78" customHeight="1">
      <c r="A13" s="22"/>
      <c r="B13" s="83"/>
      <c r="C13" s="190"/>
      <c r="D13" s="209"/>
      <c r="E13" s="186"/>
      <c r="F13" s="186"/>
      <c r="G13" s="186"/>
      <c r="H13" s="176"/>
    </row>
    <row r="14" spans="1:8" s="71" customFormat="1" ht="78" customHeight="1">
      <c r="A14" s="22"/>
      <c r="B14" s="83"/>
      <c r="C14" s="190"/>
      <c r="D14" s="210"/>
      <c r="E14" s="211"/>
      <c r="F14" s="211"/>
      <c r="G14" s="211"/>
      <c r="H14" s="212"/>
    </row>
    <row r="15" spans="1:8" s="71" customFormat="1" ht="19.5" customHeight="1">
      <c r="A15" s="204" t="s">
        <v>17</v>
      </c>
      <c r="B15" s="178"/>
      <c r="C15" s="178"/>
      <c r="D15" s="178"/>
      <c r="E15" s="178"/>
      <c r="F15" s="178"/>
      <c r="G15" s="178"/>
      <c r="H15" s="179"/>
    </row>
    <row r="16" spans="1:8" s="71" customFormat="1" ht="49.5" customHeight="1">
      <c r="A16" s="79" t="s">
        <v>22</v>
      </c>
      <c r="B16" s="215" t="s">
        <v>62</v>
      </c>
      <c r="C16" s="178"/>
      <c r="D16" s="178"/>
      <c r="E16" s="179"/>
      <c r="F16" s="215" t="s">
        <v>63</v>
      </c>
      <c r="G16" s="178"/>
      <c r="H16" s="179"/>
    </row>
    <row r="17" spans="1:8" s="71" customFormat="1" ht="150" customHeight="1">
      <c r="A17" s="83" t="s">
        <v>64</v>
      </c>
      <c r="B17" s="206" t="s">
        <v>65</v>
      </c>
      <c r="C17" s="178"/>
      <c r="D17" s="178"/>
      <c r="E17" s="179"/>
      <c r="F17" s="213" t="s">
        <v>66</v>
      </c>
      <c r="G17" s="178"/>
      <c r="H17" s="179"/>
    </row>
    <row r="18" spans="1:8" s="71" customFormat="1" ht="150" customHeight="1">
      <c r="A18" s="83" t="s">
        <v>67</v>
      </c>
      <c r="B18" s="206" t="s">
        <v>68</v>
      </c>
      <c r="C18" s="178"/>
      <c r="D18" s="178"/>
      <c r="E18" s="179"/>
      <c r="F18" s="202"/>
      <c r="G18" s="178"/>
      <c r="H18" s="179"/>
    </row>
    <row r="19" spans="1:8" s="71" customFormat="1" ht="150" customHeight="1">
      <c r="A19" s="83" t="s">
        <v>69</v>
      </c>
      <c r="B19" s="206" t="s">
        <v>70</v>
      </c>
      <c r="C19" s="178"/>
      <c r="D19" s="178"/>
      <c r="E19" s="179"/>
      <c r="F19" s="202"/>
      <c r="G19" s="178"/>
      <c r="H19" s="179"/>
    </row>
    <row r="20" spans="1:8" s="71" customFormat="1" ht="150" customHeight="1">
      <c r="A20" s="83" t="s">
        <v>71</v>
      </c>
      <c r="B20" s="206" t="s">
        <v>72</v>
      </c>
      <c r="C20" s="178"/>
      <c r="D20" s="178"/>
      <c r="E20" s="179"/>
      <c r="F20" s="202"/>
      <c r="G20" s="178"/>
      <c r="H20" s="179"/>
    </row>
  </sheetData>
  <mergeCells count="23">
    <mergeCell ref="A1:H1"/>
    <mergeCell ref="C4:D4"/>
    <mergeCell ref="E3:H3"/>
    <mergeCell ref="B16:E16"/>
    <mergeCell ref="C9:C14"/>
    <mergeCell ref="A2:H2"/>
    <mergeCell ref="A8:H8"/>
    <mergeCell ref="D9:H9"/>
    <mergeCell ref="F16:H16"/>
    <mergeCell ref="C7:D7"/>
    <mergeCell ref="A3:D3"/>
    <mergeCell ref="F20:H20"/>
    <mergeCell ref="C6:D6"/>
    <mergeCell ref="A15:H15"/>
    <mergeCell ref="F18:H18"/>
    <mergeCell ref="C5:D5"/>
    <mergeCell ref="D10:H14"/>
    <mergeCell ref="F17:H17"/>
    <mergeCell ref="B20:E20"/>
    <mergeCell ref="B18:E18"/>
    <mergeCell ref="B17:E17"/>
    <mergeCell ref="F19:H19"/>
    <mergeCell ref="B19:E19"/>
  </mergeCells>
  <phoneticPr fontId="39" type="noConversion"/>
  <dataValidations count="2">
    <dataValidation type="list" allowBlank="1" showInputMessage="1" showErrorMessage="1" sqref="A16" xr:uid="{00000000-0002-0000-0200-000000000000}">
      <formula1>"Venn/Chapati diagram,Social mapping,Transect walk,Wealth ranking,Trend analysis. Seasonal calender,Time clock,Others"</formula1>
      <formula2>0</formula2>
    </dataValidation>
    <dataValidation type="list" allowBlank="1" showInputMessage="1" showErrorMessage="1" sqref="A10:A14" xr:uid="{00000000-0002-0000-0200-000001000000}">
      <formula1>"Social mapping,Trend analysis,Time clock,Wealth ranking,Transect walk,Seasonal calendar,Key informant interview,Focus group discussion,Survey"</formula1>
      <formula2>0</formula2>
    </dataValidation>
  </dataValidations>
  <pageMargins left="0.7" right="0.7" top="0.75" bottom="0.75" header="0.511811023622047" footer="0.511811023622047"/>
  <pageSetup paperSize="9" scale="44"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10"/>
  <sheetViews>
    <sheetView view="pageBreakPreview" topLeftCell="A91" zoomScale="55" zoomScaleNormal="100" zoomScaleSheetLayoutView="55" zoomScalePageLayoutView="70" workbookViewId="0">
      <selection activeCell="A27" sqref="A27:P27"/>
    </sheetView>
  </sheetViews>
  <sheetFormatPr defaultColWidth="8.69921875" defaultRowHeight="13.8" outlineLevelRow="1"/>
  <cols>
    <col min="1" max="1" width="6.69921875" style="71" customWidth="1"/>
    <col min="2" max="2" width="25.3984375" style="23" customWidth="1"/>
    <col min="3" max="3" width="34.69921875" style="71" customWidth="1"/>
    <col min="4" max="4" width="6.8984375" style="71" hidden="1" customWidth="1"/>
    <col min="5" max="5" width="30.3984375" style="71" customWidth="1"/>
    <col min="6" max="6" width="25.69921875" style="71" customWidth="1"/>
    <col min="7" max="8" width="18.59765625" style="71" customWidth="1"/>
    <col min="9" max="16" width="13.19921875" style="71" customWidth="1"/>
    <col min="17" max="18" width="8.69921875" style="71" customWidth="1"/>
    <col min="19" max="16384" width="8.69921875" style="71"/>
  </cols>
  <sheetData>
    <row r="1" spans="1:16" ht="19.5" customHeight="1">
      <c r="A1" s="229" t="s">
        <v>73</v>
      </c>
      <c r="B1" s="178"/>
      <c r="C1" s="178"/>
      <c r="D1" s="178"/>
      <c r="E1" s="178"/>
      <c r="F1" s="178"/>
      <c r="G1" s="178"/>
      <c r="H1" s="178"/>
      <c r="I1" s="178"/>
      <c r="J1" s="178"/>
      <c r="K1" s="178"/>
      <c r="L1" s="178"/>
      <c r="M1" s="178"/>
      <c r="N1" s="178"/>
      <c r="O1" s="178"/>
      <c r="P1" s="179"/>
    </row>
    <row r="2" spans="1:16" ht="19.5" customHeight="1" outlineLevel="1">
      <c r="A2" s="232" t="s">
        <v>74</v>
      </c>
      <c r="B2" s="208"/>
      <c r="C2" s="29" t="s">
        <v>75</v>
      </c>
      <c r="D2" s="30"/>
      <c r="E2" s="205"/>
      <c r="F2" s="178"/>
      <c r="G2" s="178"/>
      <c r="H2" s="179"/>
      <c r="I2" s="240" t="s">
        <v>76</v>
      </c>
      <c r="J2" s="179"/>
      <c r="K2" s="234"/>
      <c r="L2" s="178"/>
      <c r="M2" s="178"/>
      <c r="N2" s="178"/>
      <c r="O2" s="178"/>
      <c r="P2" s="179"/>
    </row>
    <row r="3" spans="1:16" ht="19.5" customHeight="1" outlineLevel="1">
      <c r="A3" s="210"/>
      <c r="B3" s="212"/>
      <c r="C3" s="29" t="s">
        <v>77</v>
      </c>
      <c r="D3" s="30"/>
      <c r="E3" s="205"/>
      <c r="F3" s="178"/>
      <c r="G3" s="178"/>
      <c r="H3" s="179"/>
      <c r="I3" s="240" t="s">
        <v>78</v>
      </c>
      <c r="J3" s="179"/>
      <c r="K3" s="234"/>
      <c r="L3" s="178"/>
      <c r="M3" s="178"/>
      <c r="N3" s="178"/>
      <c r="O3" s="178"/>
      <c r="P3" s="179"/>
    </row>
    <row r="4" spans="1:16" ht="19.5" customHeight="1" outlineLevel="1">
      <c r="A4" s="204" t="s">
        <v>79</v>
      </c>
      <c r="B4" s="178"/>
      <c r="C4" s="178"/>
      <c r="D4" s="178"/>
      <c r="E4" s="178"/>
      <c r="F4" s="178"/>
      <c r="G4" s="178"/>
      <c r="H4" s="178"/>
      <c r="I4" s="178"/>
      <c r="J4" s="178"/>
      <c r="K4" s="178"/>
      <c r="L4" s="178"/>
      <c r="M4" s="178"/>
      <c r="N4" s="178"/>
      <c r="O4" s="178"/>
      <c r="P4" s="179"/>
    </row>
    <row r="5" spans="1:16" ht="31.5" customHeight="1" outlineLevel="1">
      <c r="A5" s="237" t="s">
        <v>80</v>
      </c>
      <c r="B5" s="179"/>
      <c r="C5" s="225" t="s">
        <v>81</v>
      </c>
      <c r="D5" s="179"/>
      <c r="E5" s="119" t="s">
        <v>82</v>
      </c>
      <c r="F5" s="119" t="s">
        <v>83</v>
      </c>
      <c r="G5" s="225" t="s">
        <v>84</v>
      </c>
      <c r="H5" s="179"/>
      <c r="I5" s="225" t="s">
        <v>85</v>
      </c>
      <c r="J5" s="179"/>
      <c r="K5" s="225" t="s">
        <v>86</v>
      </c>
      <c r="L5" s="179"/>
      <c r="M5" s="237" t="s">
        <v>87</v>
      </c>
      <c r="N5" s="179"/>
      <c r="O5" s="225" t="s">
        <v>88</v>
      </c>
      <c r="P5" s="179"/>
    </row>
    <row r="6" spans="1:16" ht="28.5" customHeight="1" outlineLevel="1">
      <c r="A6" s="241"/>
      <c r="B6" s="179"/>
      <c r="C6" s="241"/>
      <c r="D6" s="179"/>
      <c r="E6" s="121"/>
      <c r="F6" s="121"/>
      <c r="G6" s="230"/>
      <c r="H6" s="208"/>
      <c r="I6" s="230"/>
      <c r="J6" s="208"/>
      <c r="K6" s="230"/>
      <c r="L6" s="208"/>
      <c r="M6" s="230"/>
      <c r="N6" s="208"/>
      <c r="O6" s="230"/>
      <c r="P6" s="208"/>
    </row>
    <row r="7" spans="1:16" ht="41.4" customHeight="1" outlineLevel="1">
      <c r="A7" s="233" t="s">
        <v>89</v>
      </c>
      <c r="B7" s="179"/>
      <c r="C7" s="236" t="s">
        <v>90</v>
      </c>
      <c r="D7" s="178"/>
      <c r="E7" s="178"/>
      <c r="F7" s="178"/>
      <c r="G7" s="178"/>
      <c r="H7" s="178"/>
      <c r="I7" s="178"/>
      <c r="J7" s="178"/>
      <c r="K7" s="178"/>
      <c r="L7" s="178"/>
      <c r="M7" s="178"/>
      <c r="N7" s="178"/>
      <c r="O7" s="178"/>
      <c r="P7" s="179"/>
    </row>
    <row r="8" spans="1:16" ht="19.5" customHeight="1" outlineLevel="1">
      <c r="A8" s="204" t="s">
        <v>91</v>
      </c>
      <c r="B8" s="178"/>
      <c r="C8" s="178"/>
      <c r="D8" s="178"/>
      <c r="E8" s="178"/>
      <c r="F8" s="178"/>
      <c r="G8" s="178"/>
      <c r="H8" s="178"/>
      <c r="I8" s="178"/>
      <c r="J8" s="178"/>
      <c r="K8" s="178"/>
      <c r="L8" s="178"/>
      <c r="M8" s="178"/>
      <c r="N8" s="178"/>
      <c r="O8" s="178"/>
      <c r="P8" s="179"/>
    </row>
    <row r="9" spans="1:16" ht="129.75" customHeight="1" outlineLevel="1">
      <c r="A9" s="232" t="s">
        <v>92</v>
      </c>
      <c r="B9" s="179"/>
      <c r="C9" s="246" t="s">
        <v>93</v>
      </c>
      <c r="D9" s="178"/>
      <c r="E9" s="178"/>
      <c r="F9" s="178"/>
      <c r="G9" s="178"/>
      <c r="H9" s="178"/>
      <c r="I9" s="178"/>
      <c r="J9" s="178"/>
      <c r="K9" s="178"/>
      <c r="L9" s="178"/>
      <c r="M9" s="178"/>
      <c r="N9" s="178"/>
      <c r="O9" s="178"/>
      <c r="P9" s="179"/>
    </row>
    <row r="10" spans="1:16" ht="19.5" customHeight="1" outlineLevel="1">
      <c r="A10" s="235" t="s">
        <v>94</v>
      </c>
      <c r="B10" s="178"/>
      <c r="C10" s="178"/>
      <c r="D10" s="178"/>
      <c r="E10" s="178"/>
      <c r="F10" s="178"/>
      <c r="G10" s="178"/>
      <c r="H10" s="178"/>
      <c r="I10" s="178"/>
      <c r="J10" s="178"/>
      <c r="K10" s="178"/>
      <c r="L10" s="178"/>
      <c r="M10" s="178"/>
      <c r="N10" s="178"/>
      <c r="O10" s="178"/>
      <c r="P10" s="179"/>
    </row>
    <row r="11" spans="1:16" ht="99.75" customHeight="1" outlineLevel="1">
      <c r="A11" s="215" t="s">
        <v>95</v>
      </c>
      <c r="B11" s="179"/>
      <c r="C11" s="195" t="s">
        <v>96</v>
      </c>
      <c r="D11" s="207"/>
      <c r="E11" s="207"/>
      <c r="F11" s="207"/>
      <c r="G11" s="207"/>
      <c r="H11" s="207"/>
      <c r="I11" s="207"/>
      <c r="J11" s="207"/>
      <c r="K11" s="207"/>
      <c r="L11" s="207"/>
      <c r="M11" s="207"/>
      <c r="N11" s="207"/>
      <c r="O11" s="207"/>
      <c r="P11" s="208"/>
    </row>
    <row r="12" spans="1:16" ht="99.75" customHeight="1" outlineLevel="1">
      <c r="A12" s="215" t="s">
        <v>97</v>
      </c>
      <c r="B12" s="179"/>
      <c r="C12" s="209"/>
      <c r="D12" s="186"/>
      <c r="E12" s="186"/>
      <c r="F12" s="186"/>
      <c r="G12" s="186"/>
      <c r="H12" s="186"/>
      <c r="I12" s="186"/>
      <c r="J12" s="186"/>
      <c r="K12" s="186"/>
      <c r="L12" s="186"/>
      <c r="M12" s="186"/>
      <c r="N12" s="186"/>
      <c r="O12" s="186"/>
      <c r="P12" s="176"/>
    </row>
    <row r="13" spans="1:16" ht="99.75" customHeight="1" outlineLevel="1">
      <c r="A13" s="215" t="s">
        <v>98</v>
      </c>
      <c r="B13" s="179"/>
      <c r="C13" s="210"/>
      <c r="D13" s="211"/>
      <c r="E13" s="211"/>
      <c r="F13" s="211"/>
      <c r="G13" s="211"/>
      <c r="H13" s="211"/>
      <c r="I13" s="211"/>
      <c r="J13" s="211"/>
      <c r="K13" s="211"/>
      <c r="L13" s="211"/>
      <c r="M13" s="211"/>
      <c r="N13" s="211"/>
      <c r="O13" s="211"/>
      <c r="P13" s="212"/>
    </row>
    <row r="14" spans="1:16" ht="231" customHeight="1" outlineLevel="1">
      <c r="A14" s="247" t="s">
        <v>99</v>
      </c>
      <c r="B14" s="208"/>
      <c r="C14" s="220" t="s">
        <v>100</v>
      </c>
      <c r="D14" s="207"/>
      <c r="E14" s="207"/>
      <c r="F14" s="207"/>
      <c r="G14" s="207"/>
      <c r="H14" s="207"/>
      <c r="I14" s="207"/>
      <c r="J14" s="207"/>
      <c r="K14" s="207"/>
      <c r="L14" s="207"/>
      <c r="M14" s="207"/>
      <c r="N14" s="207"/>
      <c r="O14" s="207"/>
      <c r="P14" s="208"/>
    </row>
    <row r="15" spans="1:16" ht="231" customHeight="1" outlineLevel="1">
      <c r="A15" s="245" t="s">
        <v>101</v>
      </c>
      <c r="B15" s="179"/>
      <c r="C15" s="242" t="s">
        <v>102</v>
      </c>
      <c r="D15" s="178"/>
      <c r="E15" s="178"/>
      <c r="F15" s="178"/>
      <c r="G15" s="178"/>
      <c r="H15" s="178"/>
      <c r="I15" s="178"/>
      <c r="J15" s="178"/>
      <c r="K15" s="178"/>
      <c r="L15" s="178"/>
      <c r="M15" s="178"/>
      <c r="N15" s="178"/>
      <c r="O15" s="178"/>
      <c r="P15" s="179"/>
    </row>
    <row r="16" spans="1:16" ht="19.5" customHeight="1" outlineLevel="1">
      <c r="A16" s="235" t="s">
        <v>103</v>
      </c>
      <c r="B16" s="178"/>
      <c r="C16" s="178"/>
      <c r="D16" s="178"/>
      <c r="E16" s="178"/>
      <c r="F16" s="178"/>
      <c r="G16" s="178"/>
      <c r="H16" s="178"/>
      <c r="I16" s="178"/>
      <c r="J16" s="178"/>
      <c r="K16" s="178"/>
      <c r="L16" s="178"/>
      <c r="M16" s="178"/>
      <c r="N16" s="178"/>
      <c r="O16" s="178"/>
      <c r="P16" s="179"/>
    </row>
    <row r="17" spans="1:16" ht="95.25" customHeight="1" outlineLevel="1">
      <c r="A17" s="215" t="s">
        <v>104</v>
      </c>
      <c r="B17" s="179"/>
      <c r="C17" s="195" t="s">
        <v>105</v>
      </c>
      <c r="D17" s="207"/>
      <c r="E17" s="207"/>
      <c r="F17" s="207"/>
      <c r="G17" s="207"/>
      <c r="H17" s="207"/>
      <c r="I17" s="207"/>
      <c r="J17" s="207"/>
      <c r="K17" s="207"/>
      <c r="L17" s="207"/>
      <c r="M17" s="207"/>
      <c r="N17" s="207"/>
      <c r="O17" s="207"/>
      <c r="P17" s="208"/>
    </row>
    <row r="18" spans="1:16" ht="99.75" customHeight="1" outlineLevel="1">
      <c r="A18" s="215" t="s">
        <v>106</v>
      </c>
      <c r="B18" s="179"/>
      <c r="C18" s="209"/>
      <c r="D18" s="186"/>
      <c r="E18" s="186"/>
      <c r="F18" s="186"/>
      <c r="G18" s="186"/>
      <c r="H18" s="186"/>
      <c r="I18" s="186"/>
      <c r="J18" s="186"/>
      <c r="K18" s="186"/>
      <c r="L18" s="186"/>
      <c r="M18" s="186"/>
      <c r="N18" s="186"/>
      <c r="O18" s="186"/>
      <c r="P18" s="176"/>
    </row>
    <row r="19" spans="1:16" ht="99.75" customHeight="1" outlineLevel="1">
      <c r="A19" s="215" t="s">
        <v>107</v>
      </c>
      <c r="B19" s="179"/>
      <c r="C19" s="210"/>
      <c r="D19" s="211"/>
      <c r="E19" s="211"/>
      <c r="F19" s="211"/>
      <c r="G19" s="211"/>
      <c r="H19" s="211"/>
      <c r="I19" s="211"/>
      <c r="J19" s="211"/>
      <c r="K19" s="211"/>
      <c r="L19" s="211"/>
      <c r="M19" s="211"/>
      <c r="N19" s="211"/>
      <c r="O19" s="211"/>
      <c r="P19" s="212"/>
    </row>
    <row r="20" spans="1:16" ht="19.5" customHeight="1">
      <c r="A20" s="235" t="s">
        <v>108</v>
      </c>
      <c r="B20" s="178"/>
      <c r="C20" s="178"/>
      <c r="D20" s="178"/>
      <c r="E20" s="178"/>
      <c r="F20" s="178"/>
      <c r="G20" s="178"/>
      <c r="H20" s="178"/>
      <c r="I20" s="178"/>
      <c r="J20" s="178"/>
      <c r="K20" s="178"/>
      <c r="L20" s="178"/>
      <c r="M20" s="178"/>
      <c r="N20" s="178"/>
      <c r="O20" s="178"/>
      <c r="P20" s="179"/>
    </row>
    <row r="21" spans="1:16" ht="19.5" customHeight="1">
      <c r="A21" s="232" t="s">
        <v>109</v>
      </c>
      <c r="B21" s="208"/>
      <c r="C21" s="215" t="s">
        <v>110</v>
      </c>
      <c r="D21" s="178"/>
      <c r="E21" s="178"/>
      <c r="F21" s="178"/>
      <c r="G21" s="178"/>
      <c r="H21" s="178"/>
      <c r="I21" s="178"/>
      <c r="J21" s="178"/>
      <c r="K21" s="178"/>
      <c r="L21" s="178"/>
      <c r="M21" s="178"/>
      <c r="N21" s="178"/>
      <c r="O21" s="178"/>
      <c r="P21" s="179"/>
    </row>
    <row r="22" spans="1:16" ht="19.5" customHeight="1">
      <c r="A22" s="209"/>
      <c r="B22" s="176"/>
      <c r="C22" s="226"/>
      <c r="D22" s="178"/>
      <c r="E22" s="178"/>
      <c r="F22" s="178"/>
      <c r="G22" s="178"/>
      <c r="H22" s="178"/>
      <c r="I22" s="178"/>
      <c r="J22" s="178"/>
      <c r="K22" s="178"/>
      <c r="L22" s="178"/>
      <c r="M22" s="178"/>
      <c r="N22" s="178"/>
      <c r="O22" s="178"/>
      <c r="P22" s="179"/>
    </row>
    <row r="23" spans="1:16" ht="19.5" customHeight="1">
      <c r="A23" s="209"/>
      <c r="B23" s="176"/>
      <c r="C23" s="215" t="s">
        <v>111</v>
      </c>
      <c r="D23" s="178"/>
      <c r="E23" s="178"/>
      <c r="F23" s="178"/>
      <c r="G23" s="178"/>
      <c r="H23" s="179"/>
      <c r="I23" s="215" t="s">
        <v>112</v>
      </c>
      <c r="J23" s="178"/>
      <c r="K23" s="178"/>
      <c r="L23" s="178"/>
      <c r="M23" s="178"/>
      <c r="N23" s="178"/>
      <c r="O23" s="178"/>
      <c r="P23" s="179"/>
    </row>
    <row r="24" spans="1:16" ht="19.5" customHeight="1">
      <c r="A24" s="209"/>
      <c r="B24" s="176"/>
      <c r="C24" s="231"/>
      <c r="D24" s="178"/>
      <c r="E24" s="178"/>
      <c r="F24" s="178"/>
      <c r="G24" s="178"/>
      <c r="H24" s="179"/>
      <c r="I24" s="226"/>
      <c r="J24" s="178"/>
      <c r="K24" s="178"/>
      <c r="L24" s="178"/>
      <c r="M24" s="178"/>
      <c r="N24" s="178"/>
      <c r="O24" s="178"/>
      <c r="P24" s="179"/>
    </row>
    <row r="25" spans="1:16" ht="19.5" customHeight="1">
      <c r="A25" s="209"/>
      <c r="B25" s="176"/>
      <c r="C25" s="231"/>
      <c r="D25" s="178"/>
      <c r="E25" s="178"/>
      <c r="F25" s="178"/>
      <c r="G25" s="178"/>
      <c r="H25" s="179"/>
      <c r="I25" s="226"/>
      <c r="J25" s="178"/>
      <c r="K25" s="178"/>
      <c r="L25" s="178"/>
      <c r="M25" s="178"/>
      <c r="N25" s="178"/>
      <c r="O25" s="178"/>
      <c r="P25" s="179"/>
    </row>
    <row r="26" spans="1:16" ht="19.5" customHeight="1">
      <c r="A26" s="210"/>
      <c r="B26" s="212"/>
      <c r="C26" s="231"/>
      <c r="D26" s="178"/>
      <c r="E26" s="178"/>
      <c r="F26" s="178"/>
      <c r="G26" s="178"/>
      <c r="H26" s="179"/>
      <c r="I26" s="226"/>
      <c r="J26" s="178"/>
      <c r="K26" s="178"/>
      <c r="L26" s="178"/>
      <c r="M26" s="178"/>
      <c r="N26" s="178"/>
      <c r="O26" s="178"/>
      <c r="P26" s="179"/>
    </row>
    <row r="27" spans="1:16" ht="19.5" customHeight="1">
      <c r="A27" s="204" t="s">
        <v>113</v>
      </c>
      <c r="B27" s="178"/>
      <c r="C27" s="178"/>
      <c r="D27" s="178"/>
      <c r="E27" s="178"/>
      <c r="F27" s="178"/>
      <c r="G27" s="178"/>
      <c r="H27" s="178"/>
      <c r="I27" s="178"/>
      <c r="J27" s="178"/>
      <c r="K27" s="178"/>
      <c r="L27" s="178"/>
      <c r="M27" s="178"/>
      <c r="N27" s="178"/>
      <c r="O27" s="178"/>
      <c r="P27" s="179"/>
    </row>
    <row r="28" spans="1:16" ht="20.25" customHeight="1">
      <c r="A28" s="215" t="s">
        <v>114</v>
      </c>
      <c r="B28" s="178"/>
      <c r="C28" s="179"/>
      <c r="D28" s="79"/>
      <c r="E28" s="231"/>
      <c r="F28" s="179"/>
      <c r="G28" s="231"/>
      <c r="H28" s="178"/>
      <c r="I28" s="178"/>
      <c r="J28" s="179"/>
      <c r="K28" s="215" t="s">
        <v>88</v>
      </c>
      <c r="L28" s="179"/>
      <c r="M28" s="238"/>
      <c r="N28" s="178"/>
      <c r="O28" s="178"/>
      <c r="P28" s="179"/>
    </row>
    <row r="29" spans="1:16" ht="20.25" customHeight="1">
      <c r="A29" s="215" t="s">
        <v>115</v>
      </c>
      <c r="B29" s="178"/>
      <c r="C29" s="179"/>
      <c r="D29" s="79"/>
      <c r="E29" s="215" t="s">
        <v>116</v>
      </c>
      <c r="F29" s="178"/>
      <c r="G29" s="178"/>
      <c r="H29" s="178"/>
      <c r="I29" s="178"/>
      <c r="J29" s="178"/>
      <c r="K29" s="178"/>
      <c r="L29" s="178"/>
      <c r="M29" s="178"/>
      <c r="N29" s="178"/>
      <c r="O29" s="178"/>
      <c r="P29" s="179"/>
    </row>
    <row r="30" spans="1:16" ht="19.5" customHeight="1">
      <c r="A30" s="227" t="s">
        <v>117</v>
      </c>
      <c r="B30" s="178"/>
      <c r="C30" s="179"/>
      <c r="D30" s="85"/>
      <c r="E30" s="227" t="s">
        <v>118</v>
      </c>
      <c r="F30" s="179"/>
      <c r="G30" s="200" t="s">
        <v>119</v>
      </c>
      <c r="H30" s="179"/>
      <c r="I30" s="85" t="s">
        <v>120</v>
      </c>
      <c r="J30" s="85" t="s">
        <v>121</v>
      </c>
      <c r="K30" s="85" t="s">
        <v>122</v>
      </c>
      <c r="L30" s="227" t="s">
        <v>123</v>
      </c>
      <c r="M30" s="178"/>
      <c r="N30" s="179"/>
      <c r="O30" s="227" t="s">
        <v>124</v>
      </c>
      <c r="P30" s="179"/>
    </row>
    <row r="31" spans="1:16" ht="19.5" customHeight="1">
      <c r="A31" s="239" t="s">
        <v>125</v>
      </c>
      <c r="B31" s="178"/>
      <c r="C31" s="178"/>
      <c r="D31" s="178"/>
      <c r="E31" s="178"/>
      <c r="F31" s="178"/>
      <c r="G31" s="178"/>
      <c r="H31" s="178"/>
      <c r="I31" s="178"/>
      <c r="J31" s="178"/>
      <c r="K31" s="178"/>
      <c r="L31" s="178"/>
      <c r="M31" s="178"/>
      <c r="N31" s="178"/>
      <c r="O31" s="178"/>
      <c r="P31" s="179"/>
    </row>
    <row r="32" spans="1:16" ht="19.5" customHeight="1">
      <c r="A32" s="26" t="s">
        <v>126</v>
      </c>
      <c r="B32" s="223"/>
      <c r="C32" s="179"/>
      <c r="D32" s="84"/>
      <c r="E32" s="223"/>
      <c r="F32" s="179"/>
      <c r="G32" s="223"/>
      <c r="H32" s="223"/>
      <c r="I32" s="162"/>
      <c r="J32" s="162"/>
      <c r="K32" s="162"/>
      <c r="L32" s="223"/>
      <c r="M32" s="223"/>
      <c r="N32" s="223"/>
      <c r="O32" s="222"/>
      <c r="P32" s="222"/>
    </row>
    <row r="33" spans="1:16" ht="19.5" customHeight="1">
      <c r="A33" s="26" t="s">
        <v>127</v>
      </c>
      <c r="B33" s="202"/>
      <c r="C33" s="179"/>
      <c r="D33" s="81"/>
      <c r="E33" s="202"/>
      <c r="F33" s="179"/>
      <c r="G33" s="202"/>
      <c r="H33" s="223"/>
      <c r="I33" s="162"/>
      <c r="J33" s="162"/>
      <c r="K33" s="162"/>
      <c r="L33" s="202"/>
      <c r="M33" s="223"/>
      <c r="N33" s="223"/>
      <c r="O33" s="243"/>
      <c r="P33" s="179"/>
    </row>
    <row r="34" spans="1:16" ht="19.5" customHeight="1">
      <c r="A34" s="26" t="s">
        <v>128</v>
      </c>
      <c r="B34" s="202"/>
      <c r="C34" s="179"/>
      <c r="D34" s="81"/>
      <c r="E34" s="202"/>
      <c r="F34" s="179"/>
      <c r="G34" s="202"/>
      <c r="H34" s="223"/>
      <c r="I34" s="162"/>
      <c r="J34" s="162"/>
      <c r="K34" s="162"/>
      <c r="L34" s="202"/>
      <c r="M34" s="223"/>
      <c r="N34" s="223"/>
      <c r="O34" s="243"/>
      <c r="P34" s="179"/>
    </row>
    <row r="35" spans="1:16" ht="19.5" customHeight="1">
      <c r="A35" s="26" t="s">
        <v>129</v>
      </c>
      <c r="B35" s="223"/>
      <c r="C35" s="179"/>
      <c r="D35" s="84"/>
      <c r="E35" s="223"/>
      <c r="F35" s="179"/>
      <c r="G35" s="223"/>
      <c r="H35" s="223"/>
      <c r="I35" s="162"/>
      <c r="J35" s="162"/>
      <c r="K35" s="162"/>
      <c r="L35" s="223"/>
      <c r="M35" s="223"/>
      <c r="N35" s="223"/>
      <c r="O35" s="222"/>
      <c r="P35" s="222"/>
    </row>
    <row r="36" spans="1:16" ht="19.5" customHeight="1">
      <c r="A36" s="26" t="s">
        <v>130</v>
      </c>
      <c r="B36" s="223"/>
      <c r="C36" s="179"/>
      <c r="D36" s="84"/>
      <c r="E36" s="223"/>
      <c r="F36" s="179"/>
      <c r="G36" s="223"/>
      <c r="H36" s="223"/>
      <c r="I36" s="162"/>
      <c r="J36" s="162"/>
      <c r="K36" s="162"/>
      <c r="L36" s="223"/>
      <c r="M36" s="223"/>
      <c r="N36" s="223"/>
      <c r="O36" s="222"/>
      <c r="P36" s="222"/>
    </row>
    <row r="37" spans="1:16" ht="19.5" customHeight="1">
      <c r="A37" s="239" t="s">
        <v>131</v>
      </c>
      <c r="B37" s="178"/>
      <c r="C37" s="178"/>
      <c r="D37" s="178"/>
      <c r="E37" s="178"/>
      <c r="F37" s="178"/>
      <c r="G37" s="178"/>
      <c r="H37" s="178"/>
      <c r="I37" s="178"/>
      <c r="J37" s="178"/>
      <c r="K37" s="178"/>
      <c r="L37" s="178"/>
      <c r="M37" s="178"/>
      <c r="N37" s="178"/>
      <c r="O37" s="178"/>
      <c r="P37" s="179"/>
    </row>
    <row r="38" spans="1:16" ht="19.5" customHeight="1">
      <c r="A38" s="26" t="s">
        <v>132</v>
      </c>
      <c r="B38" s="202"/>
      <c r="C38" s="179"/>
      <c r="D38" s="81" t="str">
        <f t="shared" ref="D38:D52" si="0">A38&amp;" "&amp;B38</f>
        <v xml:space="preserve">1.1 </v>
      </c>
      <c r="E38" s="202"/>
      <c r="F38" s="179"/>
      <c r="G38" s="202"/>
      <c r="H38" s="179"/>
      <c r="I38" s="84"/>
      <c r="J38" s="84"/>
      <c r="K38" s="84"/>
      <c r="L38" s="202"/>
      <c r="M38" s="178"/>
      <c r="N38" s="179"/>
      <c r="O38" s="202"/>
      <c r="P38" s="179"/>
    </row>
    <row r="39" spans="1:16" ht="19.5" customHeight="1">
      <c r="A39" s="26" t="s">
        <v>133</v>
      </c>
      <c r="B39" s="202"/>
      <c r="C39" s="179"/>
      <c r="D39" s="81" t="str">
        <f t="shared" si="0"/>
        <v xml:space="preserve">1.2 </v>
      </c>
      <c r="E39" s="202"/>
      <c r="F39" s="179"/>
      <c r="G39" s="202"/>
      <c r="H39" s="179"/>
      <c r="I39" s="84"/>
      <c r="J39" s="84"/>
      <c r="K39" s="84"/>
      <c r="L39" s="202"/>
      <c r="M39" s="178"/>
      <c r="N39" s="179"/>
      <c r="O39" s="202"/>
      <c r="P39" s="179"/>
    </row>
    <row r="40" spans="1:16" ht="19.5" customHeight="1">
      <c r="A40" s="26" t="s">
        <v>134</v>
      </c>
      <c r="B40" s="202"/>
      <c r="C40" s="179"/>
      <c r="D40" s="81" t="str">
        <f t="shared" si="0"/>
        <v xml:space="preserve">1.3 </v>
      </c>
      <c r="E40" s="202"/>
      <c r="F40" s="179"/>
      <c r="G40" s="202"/>
      <c r="H40" s="179"/>
      <c r="I40" s="84"/>
      <c r="J40" s="84"/>
      <c r="K40" s="84"/>
      <c r="L40" s="202"/>
      <c r="M40" s="178"/>
      <c r="N40" s="179"/>
      <c r="O40" s="202"/>
      <c r="P40" s="179"/>
    </row>
    <row r="41" spans="1:16" ht="19.5" customHeight="1">
      <c r="A41" s="26" t="s">
        <v>135</v>
      </c>
      <c r="B41" s="202"/>
      <c r="C41" s="179"/>
      <c r="D41" s="81" t="str">
        <f t="shared" si="0"/>
        <v xml:space="preserve">2.1 </v>
      </c>
      <c r="E41" s="202"/>
      <c r="F41" s="179"/>
      <c r="G41" s="202"/>
      <c r="H41" s="179"/>
      <c r="I41" s="84"/>
      <c r="J41" s="84"/>
      <c r="K41" s="84"/>
      <c r="L41" s="202"/>
      <c r="M41" s="178"/>
      <c r="N41" s="179"/>
      <c r="O41" s="202"/>
      <c r="P41" s="179"/>
    </row>
    <row r="42" spans="1:16" ht="19.5" customHeight="1">
      <c r="A42" s="26" t="s">
        <v>136</v>
      </c>
      <c r="B42" s="202"/>
      <c r="C42" s="179"/>
      <c r="D42" s="81" t="str">
        <f t="shared" si="0"/>
        <v xml:space="preserve">2.2 </v>
      </c>
      <c r="E42" s="202"/>
      <c r="F42" s="179"/>
      <c r="G42" s="202"/>
      <c r="H42" s="179"/>
      <c r="I42" s="84"/>
      <c r="J42" s="84"/>
      <c r="K42" s="84"/>
      <c r="L42" s="202"/>
      <c r="M42" s="178"/>
      <c r="N42" s="179"/>
      <c r="O42" s="202"/>
      <c r="P42" s="179"/>
    </row>
    <row r="43" spans="1:16" ht="19.5" customHeight="1">
      <c r="A43" s="26" t="s">
        <v>137</v>
      </c>
      <c r="B43" s="202"/>
      <c r="C43" s="179"/>
      <c r="D43" s="81" t="str">
        <f t="shared" si="0"/>
        <v xml:space="preserve">2.3 </v>
      </c>
      <c r="E43" s="202"/>
      <c r="F43" s="179"/>
      <c r="G43" s="202"/>
      <c r="H43" s="179"/>
      <c r="I43" s="84"/>
      <c r="J43" s="84"/>
      <c r="K43" s="84"/>
      <c r="L43" s="202"/>
      <c r="M43" s="178"/>
      <c r="N43" s="179"/>
      <c r="O43" s="202"/>
      <c r="P43" s="179"/>
    </row>
    <row r="44" spans="1:16" ht="19.5" customHeight="1">
      <c r="A44" s="26" t="s">
        <v>138</v>
      </c>
      <c r="B44" s="202"/>
      <c r="C44" s="179"/>
      <c r="D44" s="81" t="str">
        <f t="shared" si="0"/>
        <v xml:space="preserve">3.1 </v>
      </c>
      <c r="E44" s="202"/>
      <c r="F44" s="179"/>
      <c r="G44" s="202"/>
      <c r="H44" s="179"/>
      <c r="I44" s="84"/>
      <c r="J44" s="84"/>
      <c r="K44" s="84"/>
      <c r="L44" s="202"/>
      <c r="M44" s="178"/>
      <c r="N44" s="179"/>
      <c r="O44" s="202"/>
      <c r="P44" s="179"/>
    </row>
    <row r="45" spans="1:16" ht="19.5" customHeight="1">
      <c r="A45" s="26" t="s">
        <v>139</v>
      </c>
      <c r="B45" s="202"/>
      <c r="C45" s="179"/>
      <c r="D45" s="81" t="str">
        <f t="shared" si="0"/>
        <v xml:space="preserve">3.2 </v>
      </c>
      <c r="E45" s="202"/>
      <c r="F45" s="179"/>
      <c r="G45" s="202"/>
      <c r="H45" s="179"/>
      <c r="I45" s="84"/>
      <c r="J45" s="84"/>
      <c r="K45" s="84"/>
      <c r="L45" s="202"/>
      <c r="M45" s="178"/>
      <c r="N45" s="179"/>
      <c r="O45" s="202"/>
      <c r="P45" s="179"/>
    </row>
    <row r="46" spans="1:16" ht="19.5" customHeight="1">
      <c r="A46" s="26" t="s">
        <v>140</v>
      </c>
      <c r="B46" s="202"/>
      <c r="C46" s="179"/>
      <c r="D46" s="81" t="str">
        <f t="shared" si="0"/>
        <v xml:space="preserve">3.3 </v>
      </c>
      <c r="E46" s="202"/>
      <c r="F46" s="179"/>
      <c r="G46" s="202"/>
      <c r="H46" s="179"/>
      <c r="I46" s="84"/>
      <c r="J46" s="84"/>
      <c r="K46" s="84"/>
      <c r="L46" s="202"/>
      <c r="M46" s="178"/>
      <c r="N46" s="179"/>
      <c r="O46" s="202"/>
      <c r="P46" s="179"/>
    </row>
    <row r="47" spans="1:16" ht="19.5" customHeight="1">
      <c r="A47" s="26" t="s">
        <v>141</v>
      </c>
      <c r="B47" s="202"/>
      <c r="C47" s="179"/>
      <c r="D47" s="81" t="str">
        <f t="shared" si="0"/>
        <v xml:space="preserve">4.1 </v>
      </c>
      <c r="E47" s="202"/>
      <c r="F47" s="179"/>
      <c r="G47" s="202"/>
      <c r="H47" s="179"/>
      <c r="I47" s="84"/>
      <c r="J47" s="84"/>
      <c r="K47" s="84"/>
      <c r="L47" s="224"/>
      <c r="M47" s="178"/>
      <c r="N47" s="179"/>
      <c r="O47" s="202"/>
      <c r="P47" s="179"/>
    </row>
    <row r="48" spans="1:16" ht="19.5" customHeight="1">
      <c r="A48" s="26" t="s">
        <v>142</v>
      </c>
      <c r="B48" s="202"/>
      <c r="C48" s="179"/>
      <c r="D48" s="81" t="str">
        <f t="shared" si="0"/>
        <v xml:space="preserve">4.2 </v>
      </c>
      <c r="E48" s="202"/>
      <c r="F48" s="179"/>
      <c r="G48" s="202"/>
      <c r="H48" s="179"/>
      <c r="I48" s="84"/>
      <c r="J48" s="84"/>
      <c r="K48" s="84"/>
      <c r="L48" s="224"/>
      <c r="M48" s="178"/>
      <c r="N48" s="179"/>
      <c r="O48" s="202"/>
      <c r="P48" s="179"/>
    </row>
    <row r="49" spans="1:16" ht="19.5" customHeight="1">
      <c r="A49" s="26" t="s">
        <v>143</v>
      </c>
      <c r="B49" s="202"/>
      <c r="C49" s="179"/>
      <c r="D49" s="81" t="str">
        <f t="shared" si="0"/>
        <v xml:space="preserve">4.3 </v>
      </c>
      <c r="E49" s="202"/>
      <c r="F49" s="179"/>
      <c r="G49" s="202"/>
      <c r="H49" s="179"/>
      <c r="I49" s="84"/>
      <c r="J49" s="84"/>
      <c r="K49" s="84"/>
      <c r="L49" s="224"/>
      <c r="M49" s="178"/>
      <c r="N49" s="179"/>
      <c r="O49" s="202"/>
      <c r="P49" s="179"/>
    </row>
    <row r="50" spans="1:16" ht="19.5" customHeight="1">
      <c r="A50" s="26" t="s">
        <v>144</v>
      </c>
      <c r="B50" s="202"/>
      <c r="C50" s="179"/>
      <c r="D50" s="81" t="str">
        <f t="shared" si="0"/>
        <v xml:space="preserve">5.1 </v>
      </c>
      <c r="E50" s="202"/>
      <c r="F50" s="179"/>
      <c r="G50" s="202"/>
      <c r="H50" s="179"/>
      <c r="I50" s="84"/>
      <c r="J50" s="84"/>
      <c r="K50" s="84"/>
      <c r="L50" s="224"/>
      <c r="M50" s="178"/>
      <c r="N50" s="179"/>
      <c r="O50" s="202"/>
      <c r="P50" s="179"/>
    </row>
    <row r="51" spans="1:16" ht="19.5" customHeight="1">
      <c r="A51" s="26" t="s">
        <v>145</v>
      </c>
      <c r="B51" s="202"/>
      <c r="C51" s="179"/>
      <c r="D51" s="81" t="str">
        <f t="shared" si="0"/>
        <v xml:space="preserve">5.2 </v>
      </c>
      <c r="E51" s="202"/>
      <c r="F51" s="179"/>
      <c r="G51" s="202"/>
      <c r="H51" s="179"/>
      <c r="I51" s="84"/>
      <c r="J51" s="84"/>
      <c r="K51" s="84"/>
      <c r="L51" s="224"/>
      <c r="M51" s="178"/>
      <c r="N51" s="179"/>
      <c r="O51" s="202"/>
      <c r="P51" s="179"/>
    </row>
    <row r="52" spans="1:16" ht="19.5" customHeight="1">
      <c r="A52" s="26" t="s">
        <v>146</v>
      </c>
      <c r="B52" s="202"/>
      <c r="C52" s="179"/>
      <c r="D52" s="81" t="str">
        <f t="shared" si="0"/>
        <v xml:space="preserve">5.3 </v>
      </c>
      <c r="E52" s="202"/>
      <c r="F52" s="179"/>
      <c r="G52" s="202"/>
      <c r="H52" s="179"/>
      <c r="I52" s="84"/>
      <c r="J52" s="84"/>
      <c r="K52" s="84"/>
      <c r="L52" s="224"/>
      <c r="M52" s="178"/>
      <c r="N52" s="179"/>
      <c r="O52" s="202"/>
      <c r="P52" s="179"/>
    </row>
    <row r="53" spans="1:16" ht="19.5" customHeight="1">
      <c r="A53" s="204" t="s">
        <v>147</v>
      </c>
      <c r="B53" s="178"/>
      <c r="C53" s="178"/>
      <c r="D53" s="178"/>
      <c r="E53" s="178"/>
      <c r="F53" s="178"/>
      <c r="G53" s="178"/>
      <c r="H53" s="178"/>
      <c r="I53" s="178"/>
      <c r="J53" s="178"/>
      <c r="K53" s="178"/>
      <c r="L53" s="178"/>
      <c r="M53" s="178"/>
      <c r="N53" s="178"/>
      <c r="O53" s="178"/>
      <c r="P53" s="179"/>
    </row>
    <row r="54" spans="1:16" ht="19.5" customHeight="1">
      <c r="A54" s="227" t="s">
        <v>148</v>
      </c>
      <c r="B54" s="207"/>
      <c r="C54" s="208"/>
      <c r="D54" s="85"/>
      <c r="E54" s="227" t="s">
        <v>149</v>
      </c>
      <c r="F54" s="178"/>
      <c r="G54" s="178"/>
      <c r="H54" s="178"/>
      <c r="I54" s="178"/>
      <c r="J54" s="178"/>
      <c r="K54" s="178"/>
      <c r="L54" s="179"/>
      <c r="M54" s="227" t="s">
        <v>88</v>
      </c>
      <c r="N54" s="207"/>
      <c r="O54" s="207"/>
      <c r="P54" s="208"/>
    </row>
    <row r="55" spans="1:16" ht="19.5" customHeight="1">
      <c r="A55" s="210"/>
      <c r="B55" s="211"/>
      <c r="C55" s="212"/>
      <c r="D55" s="85"/>
      <c r="E55" s="85" t="s">
        <v>150</v>
      </c>
      <c r="F55" s="85" t="s">
        <v>151</v>
      </c>
      <c r="G55" s="227" t="s">
        <v>152</v>
      </c>
      <c r="H55" s="179"/>
      <c r="I55" s="227" t="s">
        <v>153</v>
      </c>
      <c r="J55" s="179"/>
      <c r="K55" s="227" t="s">
        <v>154</v>
      </c>
      <c r="L55" s="179"/>
      <c r="M55" s="210"/>
      <c r="N55" s="211"/>
      <c r="O55" s="211"/>
      <c r="P55" s="212"/>
    </row>
    <row r="56" spans="1:16" ht="19.5" customHeight="1">
      <c r="A56" s="26" t="s">
        <v>155</v>
      </c>
      <c r="B56" s="202"/>
      <c r="C56" s="179"/>
      <c r="D56" s="83" t="str">
        <f t="shared" ref="D56:D85" si="1">A56&amp;" "&amp;B56</f>
        <v xml:space="preserve">1.1.1 </v>
      </c>
      <c r="E56" s="83"/>
      <c r="F56" s="83"/>
      <c r="G56" s="219"/>
      <c r="H56" s="179"/>
      <c r="I56" s="219"/>
      <c r="J56" s="179"/>
      <c r="K56" s="219"/>
      <c r="L56" s="179"/>
      <c r="M56" s="202"/>
      <c r="N56" s="178"/>
      <c r="O56" s="178"/>
      <c r="P56" s="179"/>
    </row>
    <row r="57" spans="1:16" ht="19.5" customHeight="1">
      <c r="A57" s="26" t="s">
        <v>156</v>
      </c>
      <c r="B57" s="202"/>
      <c r="C57" s="179"/>
      <c r="D57" s="83" t="str">
        <f t="shared" si="1"/>
        <v xml:space="preserve">1.1.2 </v>
      </c>
      <c r="E57" s="83"/>
      <c r="F57" s="83"/>
      <c r="G57" s="219"/>
      <c r="H57" s="179"/>
      <c r="I57" s="219"/>
      <c r="J57" s="179"/>
      <c r="K57" s="219"/>
      <c r="L57" s="179"/>
      <c r="M57" s="202"/>
      <c r="N57" s="178"/>
      <c r="O57" s="178"/>
      <c r="P57" s="179"/>
    </row>
    <row r="58" spans="1:16" ht="19.5" customHeight="1">
      <c r="A58" s="26" t="s">
        <v>157</v>
      </c>
      <c r="B58" s="202"/>
      <c r="C58" s="179"/>
      <c r="D58" s="83" t="str">
        <f t="shared" si="1"/>
        <v xml:space="preserve">1.2.1 </v>
      </c>
      <c r="E58" s="83"/>
      <c r="F58" s="83"/>
      <c r="G58" s="219"/>
      <c r="H58" s="179"/>
      <c r="I58" s="219"/>
      <c r="J58" s="179"/>
      <c r="K58" s="219"/>
      <c r="L58" s="179"/>
      <c r="M58" s="202"/>
      <c r="N58" s="178"/>
      <c r="O58" s="178"/>
      <c r="P58" s="179"/>
    </row>
    <row r="59" spans="1:16" ht="19.5" customHeight="1">
      <c r="A59" s="26" t="s">
        <v>158</v>
      </c>
      <c r="B59" s="202"/>
      <c r="C59" s="179"/>
      <c r="D59" s="83" t="str">
        <f t="shared" si="1"/>
        <v xml:space="preserve">1.2.2 </v>
      </c>
      <c r="E59" s="83"/>
      <c r="F59" s="83"/>
      <c r="G59" s="219"/>
      <c r="H59" s="179"/>
      <c r="I59" s="219"/>
      <c r="J59" s="179"/>
      <c r="K59" s="219"/>
      <c r="L59" s="179"/>
      <c r="M59" s="202"/>
      <c r="N59" s="178"/>
      <c r="O59" s="178"/>
      <c r="P59" s="179"/>
    </row>
    <row r="60" spans="1:16" ht="19.5" customHeight="1">
      <c r="A60" s="26" t="s">
        <v>159</v>
      </c>
      <c r="B60" s="202"/>
      <c r="C60" s="179"/>
      <c r="D60" s="83" t="str">
        <f t="shared" si="1"/>
        <v xml:space="preserve">1.3.1 </v>
      </c>
      <c r="E60" s="83"/>
      <c r="F60" s="83"/>
      <c r="G60" s="219"/>
      <c r="H60" s="179"/>
      <c r="I60" s="219"/>
      <c r="J60" s="179"/>
      <c r="K60" s="219"/>
      <c r="L60" s="179"/>
      <c r="M60" s="202"/>
      <c r="N60" s="178"/>
      <c r="O60" s="178"/>
      <c r="P60" s="179"/>
    </row>
    <row r="61" spans="1:16" ht="19.5" customHeight="1">
      <c r="A61" s="26" t="s">
        <v>160</v>
      </c>
      <c r="B61" s="202"/>
      <c r="C61" s="179"/>
      <c r="D61" s="83" t="str">
        <f t="shared" si="1"/>
        <v xml:space="preserve">1.3.2 </v>
      </c>
      <c r="E61" s="83"/>
      <c r="F61" s="83"/>
      <c r="G61" s="219"/>
      <c r="H61" s="179"/>
      <c r="I61" s="219"/>
      <c r="J61" s="179"/>
      <c r="K61" s="219"/>
      <c r="L61" s="179"/>
      <c r="M61" s="202"/>
      <c r="N61" s="178"/>
      <c r="O61" s="178"/>
      <c r="P61" s="179"/>
    </row>
    <row r="62" spans="1:16" ht="19.5" customHeight="1">
      <c r="A62" s="26" t="s">
        <v>161</v>
      </c>
      <c r="B62" s="202"/>
      <c r="C62" s="179"/>
      <c r="D62" s="83" t="str">
        <f t="shared" si="1"/>
        <v xml:space="preserve">2.1.1 </v>
      </c>
      <c r="E62" s="83"/>
      <c r="F62" s="83"/>
      <c r="G62" s="219"/>
      <c r="H62" s="179"/>
      <c r="I62" s="219"/>
      <c r="J62" s="179"/>
      <c r="K62" s="219"/>
      <c r="L62" s="179"/>
      <c r="M62" s="202"/>
      <c r="N62" s="178"/>
      <c r="O62" s="178"/>
      <c r="P62" s="179"/>
    </row>
    <row r="63" spans="1:16" ht="19.5" customHeight="1">
      <c r="A63" s="26" t="s">
        <v>162</v>
      </c>
      <c r="B63" s="202"/>
      <c r="C63" s="179"/>
      <c r="D63" s="83" t="str">
        <f t="shared" si="1"/>
        <v xml:space="preserve">2.1.2 </v>
      </c>
      <c r="E63" s="83"/>
      <c r="F63" s="83"/>
      <c r="G63" s="219"/>
      <c r="H63" s="179"/>
      <c r="I63" s="219"/>
      <c r="J63" s="179"/>
      <c r="K63" s="219"/>
      <c r="L63" s="179"/>
      <c r="M63" s="202"/>
      <c r="N63" s="178"/>
      <c r="O63" s="178"/>
      <c r="P63" s="179"/>
    </row>
    <row r="64" spans="1:16" ht="19.5" customHeight="1">
      <c r="A64" s="26" t="s">
        <v>163</v>
      </c>
      <c r="B64" s="202"/>
      <c r="C64" s="179"/>
      <c r="D64" s="83" t="str">
        <f t="shared" si="1"/>
        <v xml:space="preserve">2.2.1 </v>
      </c>
      <c r="E64" s="83"/>
      <c r="F64" s="83"/>
      <c r="G64" s="219"/>
      <c r="H64" s="179"/>
      <c r="I64" s="219"/>
      <c r="J64" s="179"/>
      <c r="K64" s="219"/>
      <c r="L64" s="179"/>
      <c r="M64" s="202"/>
      <c r="N64" s="178"/>
      <c r="O64" s="178"/>
      <c r="P64" s="179"/>
    </row>
    <row r="65" spans="1:16" ht="19.5" customHeight="1">
      <c r="A65" s="26" t="s">
        <v>164</v>
      </c>
      <c r="B65" s="202"/>
      <c r="C65" s="179"/>
      <c r="D65" s="83" t="str">
        <f t="shared" si="1"/>
        <v xml:space="preserve">2.2.2 </v>
      </c>
      <c r="E65" s="83"/>
      <c r="F65" s="83"/>
      <c r="G65" s="219"/>
      <c r="H65" s="179"/>
      <c r="I65" s="219"/>
      <c r="J65" s="179"/>
      <c r="K65" s="219"/>
      <c r="L65" s="179"/>
      <c r="M65" s="202"/>
      <c r="N65" s="178"/>
      <c r="O65" s="178"/>
      <c r="P65" s="179"/>
    </row>
    <row r="66" spans="1:16" ht="19.5" customHeight="1">
      <c r="A66" s="26" t="s">
        <v>165</v>
      </c>
      <c r="B66" s="202"/>
      <c r="C66" s="179"/>
      <c r="D66" s="83" t="str">
        <f t="shared" si="1"/>
        <v xml:space="preserve">2.3.1 </v>
      </c>
      <c r="E66" s="83"/>
      <c r="F66" s="83"/>
      <c r="G66" s="219"/>
      <c r="H66" s="179"/>
      <c r="I66" s="219"/>
      <c r="J66" s="179"/>
      <c r="K66" s="219"/>
      <c r="L66" s="179"/>
      <c r="M66" s="202"/>
      <c r="N66" s="178"/>
      <c r="O66" s="178"/>
      <c r="P66" s="179"/>
    </row>
    <row r="67" spans="1:16" ht="19.5" customHeight="1">
      <c r="A67" s="26" t="s">
        <v>166</v>
      </c>
      <c r="B67" s="202"/>
      <c r="C67" s="179"/>
      <c r="D67" s="83" t="str">
        <f t="shared" si="1"/>
        <v xml:space="preserve">2.3.2 </v>
      </c>
      <c r="E67" s="83"/>
      <c r="F67" s="83"/>
      <c r="G67" s="219"/>
      <c r="H67" s="179"/>
      <c r="I67" s="219"/>
      <c r="J67" s="179"/>
      <c r="K67" s="219"/>
      <c r="L67" s="179"/>
      <c r="M67" s="202"/>
      <c r="N67" s="178"/>
      <c r="O67" s="178"/>
      <c r="P67" s="179"/>
    </row>
    <row r="68" spans="1:16" ht="24" customHeight="1">
      <c r="A68" s="26" t="s">
        <v>167</v>
      </c>
      <c r="B68" s="202"/>
      <c r="C68" s="179"/>
      <c r="D68" s="83" t="str">
        <f t="shared" si="1"/>
        <v xml:space="preserve">3.1.1 </v>
      </c>
      <c r="E68" s="83"/>
      <c r="F68" s="83"/>
      <c r="G68" s="219"/>
      <c r="H68" s="179"/>
      <c r="I68" s="219"/>
      <c r="J68" s="179"/>
      <c r="K68" s="219"/>
      <c r="L68" s="179"/>
      <c r="M68" s="202"/>
      <c r="N68" s="178"/>
      <c r="O68" s="178"/>
      <c r="P68" s="179"/>
    </row>
    <row r="69" spans="1:16" ht="19.5" customHeight="1">
      <c r="A69" s="26" t="s">
        <v>168</v>
      </c>
      <c r="B69" s="202"/>
      <c r="C69" s="179"/>
      <c r="D69" s="83" t="str">
        <f t="shared" si="1"/>
        <v xml:space="preserve">3.1.2 </v>
      </c>
      <c r="E69" s="83"/>
      <c r="F69" s="83"/>
      <c r="G69" s="219"/>
      <c r="H69" s="179"/>
      <c r="I69" s="219"/>
      <c r="J69" s="179"/>
      <c r="K69" s="219"/>
      <c r="L69" s="179"/>
      <c r="M69" s="202"/>
      <c r="N69" s="178"/>
      <c r="O69" s="178"/>
      <c r="P69" s="179"/>
    </row>
    <row r="70" spans="1:16" ht="24" customHeight="1">
      <c r="A70" s="26" t="s">
        <v>169</v>
      </c>
      <c r="B70" s="202"/>
      <c r="C70" s="179"/>
      <c r="D70" s="83" t="str">
        <f t="shared" si="1"/>
        <v xml:space="preserve">3.2.1 </v>
      </c>
      <c r="E70" s="83"/>
      <c r="F70" s="83"/>
      <c r="G70" s="219"/>
      <c r="H70" s="179"/>
      <c r="I70" s="219"/>
      <c r="J70" s="179"/>
      <c r="K70" s="219"/>
      <c r="L70" s="179"/>
      <c r="M70" s="202"/>
      <c r="N70" s="178"/>
      <c r="O70" s="178"/>
      <c r="P70" s="179"/>
    </row>
    <row r="71" spans="1:16" ht="19.5" customHeight="1">
      <c r="A71" s="26" t="s">
        <v>170</v>
      </c>
      <c r="B71" s="202"/>
      <c r="C71" s="179"/>
      <c r="D71" s="83" t="str">
        <f t="shared" si="1"/>
        <v xml:space="preserve">3.2.2 </v>
      </c>
      <c r="E71" s="83"/>
      <c r="F71" s="83"/>
      <c r="G71" s="219"/>
      <c r="H71" s="179"/>
      <c r="I71" s="219"/>
      <c r="J71" s="179"/>
      <c r="K71" s="219"/>
      <c r="L71" s="179"/>
      <c r="M71" s="202"/>
      <c r="N71" s="178"/>
      <c r="O71" s="178"/>
      <c r="P71" s="179"/>
    </row>
    <row r="72" spans="1:16" ht="24" customHeight="1">
      <c r="A72" s="26" t="s">
        <v>171</v>
      </c>
      <c r="B72" s="202"/>
      <c r="C72" s="179"/>
      <c r="D72" s="83" t="str">
        <f t="shared" si="1"/>
        <v xml:space="preserve">3.3.1 </v>
      </c>
      <c r="E72" s="83"/>
      <c r="F72" s="83"/>
      <c r="G72" s="219"/>
      <c r="H72" s="179"/>
      <c r="I72" s="219"/>
      <c r="J72" s="179"/>
      <c r="K72" s="219"/>
      <c r="L72" s="179"/>
      <c r="M72" s="202"/>
      <c r="N72" s="178"/>
      <c r="O72" s="178"/>
      <c r="P72" s="179"/>
    </row>
    <row r="73" spans="1:16" ht="19.5" customHeight="1">
      <c r="A73" s="26" t="s">
        <v>172</v>
      </c>
      <c r="B73" s="202"/>
      <c r="C73" s="179"/>
      <c r="D73" s="83" t="str">
        <f t="shared" si="1"/>
        <v xml:space="preserve">3.3.2 </v>
      </c>
      <c r="E73" s="83"/>
      <c r="F73" s="83"/>
      <c r="G73" s="219"/>
      <c r="H73" s="179"/>
      <c r="I73" s="219"/>
      <c r="J73" s="179"/>
      <c r="K73" s="219"/>
      <c r="L73" s="179"/>
      <c r="M73" s="202"/>
      <c r="N73" s="178"/>
      <c r="O73" s="178"/>
      <c r="P73" s="179"/>
    </row>
    <row r="74" spans="1:16" ht="19.5" customHeight="1">
      <c r="A74" s="26" t="s">
        <v>173</v>
      </c>
      <c r="B74" s="202"/>
      <c r="C74" s="179"/>
      <c r="D74" s="83" t="str">
        <f t="shared" si="1"/>
        <v xml:space="preserve">4.1.1 </v>
      </c>
      <c r="E74" s="84"/>
      <c r="F74" s="84"/>
      <c r="G74" s="221"/>
      <c r="H74" s="179"/>
      <c r="I74" s="221"/>
      <c r="J74" s="179"/>
      <c r="K74" s="221"/>
      <c r="L74" s="179"/>
      <c r="M74" s="202"/>
      <c r="N74" s="178"/>
      <c r="O74" s="178"/>
      <c r="P74" s="179"/>
    </row>
    <row r="75" spans="1:16" ht="19.5" customHeight="1">
      <c r="A75" s="26" t="s">
        <v>174</v>
      </c>
      <c r="B75" s="202"/>
      <c r="C75" s="179"/>
      <c r="D75" s="83" t="str">
        <f t="shared" si="1"/>
        <v xml:space="preserve">4.1.2 </v>
      </c>
      <c r="E75" s="84"/>
      <c r="F75" s="84"/>
      <c r="G75" s="221"/>
      <c r="H75" s="179"/>
      <c r="I75" s="221"/>
      <c r="J75" s="179"/>
      <c r="K75" s="221"/>
      <c r="L75" s="179"/>
      <c r="M75" s="202"/>
      <c r="N75" s="178"/>
      <c r="O75" s="178"/>
      <c r="P75" s="179"/>
    </row>
    <row r="76" spans="1:16" ht="19.5" customHeight="1">
      <c r="A76" s="26" t="s">
        <v>175</v>
      </c>
      <c r="B76" s="202"/>
      <c r="C76" s="179"/>
      <c r="D76" s="83" t="str">
        <f t="shared" si="1"/>
        <v xml:space="preserve">4.2.1 </v>
      </c>
      <c r="E76" s="84"/>
      <c r="F76" s="84"/>
      <c r="G76" s="221"/>
      <c r="H76" s="179"/>
      <c r="I76" s="221"/>
      <c r="J76" s="179"/>
      <c r="K76" s="221"/>
      <c r="L76" s="179"/>
      <c r="M76" s="202"/>
      <c r="N76" s="178"/>
      <c r="O76" s="178"/>
      <c r="P76" s="179"/>
    </row>
    <row r="77" spans="1:16" ht="19.5" customHeight="1">
      <c r="A77" s="26" t="s">
        <v>176</v>
      </c>
      <c r="B77" s="202"/>
      <c r="C77" s="179"/>
      <c r="D77" s="83" t="str">
        <f t="shared" si="1"/>
        <v xml:space="preserve">4.2.2 </v>
      </c>
      <c r="E77" s="84"/>
      <c r="F77" s="84"/>
      <c r="G77" s="221"/>
      <c r="H77" s="179"/>
      <c r="I77" s="221"/>
      <c r="J77" s="179"/>
      <c r="K77" s="221"/>
      <c r="L77" s="179"/>
      <c r="M77" s="202"/>
      <c r="N77" s="178"/>
      <c r="O77" s="178"/>
      <c r="P77" s="179"/>
    </row>
    <row r="78" spans="1:16" ht="19.5" customHeight="1">
      <c r="A78" s="26" t="s">
        <v>177</v>
      </c>
      <c r="B78" s="202"/>
      <c r="C78" s="179"/>
      <c r="D78" s="83" t="str">
        <f t="shared" si="1"/>
        <v xml:space="preserve">4.3.1 </v>
      </c>
      <c r="E78" s="84"/>
      <c r="F78" s="84"/>
      <c r="G78" s="221"/>
      <c r="H78" s="179"/>
      <c r="I78" s="221"/>
      <c r="J78" s="179"/>
      <c r="K78" s="221"/>
      <c r="L78" s="179"/>
      <c r="M78" s="202"/>
      <c r="N78" s="178"/>
      <c r="O78" s="178"/>
      <c r="P78" s="179"/>
    </row>
    <row r="79" spans="1:16" ht="19.5" customHeight="1">
      <c r="A79" s="26" t="s">
        <v>178</v>
      </c>
      <c r="B79" s="202"/>
      <c r="C79" s="179"/>
      <c r="D79" s="83" t="str">
        <f t="shared" si="1"/>
        <v xml:space="preserve">4.3.2 </v>
      </c>
      <c r="E79" s="84"/>
      <c r="F79" s="84"/>
      <c r="G79" s="221"/>
      <c r="H79" s="179"/>
      <c r="I79" s="221"/>
      <c r="J79" s="179"/>
      <c r="K79" s="221"/>
      <c r="L79" s="179"/>
      <c r="M79" s="202"/>
      <c r="N79" s="178"/>
      <c r="O79" s="178"/>
      <c r="P79" s="179"/>
    </row>
    <row r="80" spans="1:16" ht="19.5" customHeight="1">
      <c r="A80" s="26" t="s">
        <v>179</v>
      </c>
      <c r="B80" s="202"/>
      <c r="C80" s="179"/>
      <c r="D80" s="83" t="str">
        <f t="shared" si="1"/>
        <v xml:space="preserve">5.1.1 </v>
      </c>
      <c r="E80" s="84"/>
      <c r="F80" s="84"/>
      <c r="G80" s="221"/>
      <c r="H80" s="179"/>
      <c r="I80" s="221"/>
      <c r="J80" s="179"/>
      <c r="K80" s="221"/>
      <c r="L80" s="179"/>
      <c r="M80" s="202"/>
      <c r="N80" s="178"/>
      <c r="O80" s="178"/>
      <c r="P80" s="179"/>
    </row>
    <row r="81" spans="1:16" ht="19.5" customHeight="1">
      <c r="A81" s="26" t="s">
        <v>180</v>
      </c>
      <c r="B81" s="202"/>
      <c r="C81" s="179"/>
      <c r="D81" s="83" t="str">
        <f t="shared" si="1"/>
        <v xml:space="preserve">5.1.2 </v>
      </c>
      <c r="E81" s="84"/>
      <c r="F81" s="84"/>
      <c r="G81" s="221"/>
      <c r="H81" s="179"/>
      <c r="I81" s="221"/>
      <c r="J81" s="179"/>
      <c r="K81" s="221"/>
      <c r="L81" s="179"/>
      <c r="M81" s="202"/>
      <c r="N81" s="178"/>
      <c r="O81" s="178"/>
      <c r="P81" s="179"/>
    </row>
    <row r="82" spans="1:16" ht="19.5" customHeight="1">
      <c r="A82" s="26" t="s">
        <v>181</v>
      </c>
      <c r="B82" s="202"/>
      <c r="C82" s="179"/>
      <c r="D82" s="83" t="str">
        <f t="shared" si="1"/>
        <v xml:space="preserve">5.2.1 </v>
      </c>
      <c r="E82" s="84"/>
      <c r="F82" s="84"/>
      <c r="G82" s="221"/>
      <c r="H82" s="179"/>
      <c r="I82" s="221"/>
      <c r="J82" s="179"/>
      <c r="K82" s="221"/>
      <c r="L82" s="179"/>
      <c r="M82" s="202"/>
      <c r="N82" s="178"/>
      <c r="O82" s="178"/>
      <c r="P82" s="179"/>
    </row>
    <row r="83" spans="1:16" ht="19.5" customHeight="1">
      <c r="A83" s="26" t="s">
        <v>182</v>
      </c>
      <c r="B83" s="202"/>
      <c r="C83" s="179"/>
      <c r="D83" s="83" t="str">
        <f t="shared" si="1"/>
        <v xml:space="preserve">5.2.2 </v>
      </c>
      <c r="E83" s="84"/>
      <c r="F83" s="84"/>
      <c r="G83" s="221"/>
      <c r="H83" s="179"/>
      <c r="I83" s="221"/>
      <c r="J83" s="179"/>
      <c r="K83" s="221"/>
      <c r="L83" s="179"/>
      <c r="M83" s="202"/>
      <c r="N83" s="178"/>
      <c r="O83" s="178"/>
      <c r="P83" s="179"/>
    </row>
    <row r="84" spans="1:16" ht="19.5" customHeight="1">
      <c r="A84" s="26" t="s">
        <v>183</v>
      </c>
      <c r="B84" s="202"/>
      <c r="C84" s="179"/>
      <c r="D84" s="83" t="str">
        <f t="shared" si="1"/>
        <v xml:space="preserve">5.3.1 </v>
      </c>
      <c r="E84" s="84"/>
      <c r="F84" s="84"/>
      <c r="G84" s="221"/>
      <c r="H84" s="179"/>
      <c r="I84" s="221"/>
      <c r="J84" s="179"/>
      <c r="K84" s="221"/>
      <c r="L84" s="179"/>
      <c r="M84" s="202"/>
      <c r="N84" s="178"/>
      <c r="O84" s="178"/>
      <c r="P84" s="179"/>
    </row>
    <row r="85" spans="1:16" ht="19.5" customHeight="1">
      <c r="A85" s="26" t="s">
        <v>184</v>
      </c>
      <c r="B85" s="202"/>
      <c r="C85" s="179"/>
      <c r="D85" s="83" t="str">
        <f t="shared" si="1"/>
        <v xml:space="preserve">5.3.2 </v>
      </c>
      <c r="E85" s="84"/>
      <c r="F85" s="84"/>
      <c r="G85" s="221"/>
      <c r="H85" s="179"/>
      <c r="I85" s="221"/>
      <c r="J85" s="179"/>
      <c r="K85" s="221"/>
      <c r="L85" s="179"/>
      <c r="M85" s="202"/>
      <c r="N85" s="178"/>
      <c r="O85" s="178"/>
      <c r="P85" s="179"/>
    </row>
    <row r="86" spans="1:16" ht="19.5" customHeight="1">
      <c r="A86" s="204" t="s">
        <v>185</v>
      </c>
      <c r="B86" s="178"/>
      <c r="C86" s="178"/>
      <c r="D86" s="178"/>
      <c r="E86" s="178"/>
      <c r="F86" s="178"/>
      <c r="G86" s="178"/>
      <c r="H86" s="178"/>
      <c r="I86" s="178"/>
      <c r="J86" s="178"/>
      <c r="K86" s="178"/>
      <c r="L86" s="178"/>
      <c r="M86" s="178"/>
      <c r="N86" s="178"/>
      <c r="O86" s="178"/>
      <c r="P86" s="179"/>
    </row>
    <row r="87" spans="1:16" ht="19.5" customHeight="1">
      <c r="A87" s="215" t="s">
        <v>131</v>
      </c>
      <c r="B87" s="179"/>
      <c r="C87" s="79" t="s">
        <v>148</v>
      </c>
      <c r="D87" s="79"/>
      <c r="E87" s="244" t="s">
        <v>186</v>
      </c>
      <c r="F87" s="178"/>
      <c r="G87" s="79" t="s">
        <v>120</v>
      </c>
      <c r="H87" s="79" t="s">
        <v>187</v>
      </c>
      <c r="I87" s="79" t="s">
        <v>188</v>
      </c>
      <c r="J87" s="79" t="s">
        <v>189</v>
      </c>
      <c r="K87" s="79" t="s">
        <v>190</v>
      </c>
      <c r="L87" s="79" t="s">
        <v>191</v>
      </c>
      <c r="M87" s="79" t="s">
        <v>192</v>
      </c>
      <c r="N87" s="79" t="s">
        <v>193</v>
      </c>
      <c r="O87" s="79" t="s">
        <v>194</v>
      </c>
      <c r="P87" s="79" t="s">
        <v>189</v>
      </c>
    </row>
    <row r="88" spans="1:16" ht="19.5" customHeight="1">
      <c r="A88" s="202"/>
      <c r="B88" s="179"/>
      <c r="C88" s="81"/>
      <c r="D88" s="81"/>
      <c r="E88" s="228"/>
      <c r="F88" s="178"/>
      <c r="G88" s="84"/>
      <c r="H88" s="122"/>
      <c r="I88" s="84"/>
      <c r="J88" s="123">
        <f t="shared" ref="J88:J109" si="2">H88*I88</f>
        <v>0</v>
      </c>
      <c r="K88" s="122"/>
      <c r="L88" s="122"/>
      <c r="M88" s="122"/>
      <c r="N88" s="122"/>
      <c r="O88" s="122"/>
      <c r="P88" s="123">
        <f t="shared" ref="P88:P110" si="3">SUM(K88:O88)</f>
        <v>0</v>
      </c>
    </row>
    <row r="89" spans="1:16" ht="19.5" customHeight="1">
      <c r="A89" s="202"/>
      <c r="B89" s="179"/>
      <c r="C89" s="81"/>
      <c r="D89" s="81"/>
      <c r="E89" s="228"/>
      <c r="F89" s="178"/>
      <c r="G89" s="84"/>
      <c r="H89" s="122"/>
      <c r="I89" s="84"/>
      <c r="J89" s="123">
        <f t="shared" si="2"/>
        <v>0</v>
      </c>
      <c r="K89" s="122"/>
      <c r="L89" s="122"/>
      <c r="M89" s="122"/>
      <c r="N89" s="122"/>
      <c r="O89" s="122"/>
      <c r="P89" s="123">
        <f t="shared" si="3"/>
        <v>0</v>
      </c>
    </row>
    <row r="90" spans="1:16" ht="19.5" customHeight="1">
      <c r="A90" s="202"/>
      <c r="B90" s="179"/>
      <c r="C90" s="81"/>
      <c r="D90" s="81"/>
      <c r="E90" s="228"/>
      <c r="F90" s="178"/>
      <c r="G90" s="84"/>
      <c r="H90" s="122"/>
      <c r="I90" s="84"/>
      <c r="J90" s="123">
        <f t="shared" si="2"/>
        <v>0</v>
      </c>
      <c r="K90" s="122"/>
      <c r="L90" s="122"/>
      <c r="M90" s="122"/>
      <c r="N90" s="122"/>
      <c r="O90" s="122"/>
      <c r="P90" s="123">
        <f t="shared" si="3"/>
        <v>0</v>
      </c>
    </row>
    <row r="91" spans="1:16" ht="19.5" customHeight="1">
      <c r="A91" s="202"/>
      <c r="B91" s="179"/>
      <c r="C91" s="81"/>
      <c r="D91" s="81"/>
      <c r="E91" s="228"/>
      <c r="F91" s="178"/>
      <c r="G91" s="84"/>
      <c r="H91" s="122"/>
      <c r="I91" s="84"/>
      <c r="J91" s="123">
        <f t="shared" si="2"/>
        <v>0</v>
      </c>
      <c r="K91" s="122"/>
      <c r="L91" s="122"/>
      <c r="M91" s="122"/>
      <c r="N91" s="122"/>
      <c r="O91" s="122"/>
      <c r="P91" s="123">
        <f t="shared" si="3"/>
        <v>0</v>
      </c>
    </row>
    <row r="92" spans="1:16" ht="19.5" customHeight="1">
      <c r="A92" s="202"/>
      <c r="B92" s="179"/>
      <c r="C92" s="81"/>
      <c r="D92" s="81"/>
      <c r="E92" s="228"/>
      <c r="F92" s="178"/>
      <c r="G92" s="84"/>
      <c r="H92" s="122"/>
      <c r="I92" s="84"/>
      <c r="J92" s="123">
        <f t="shared" si="2"/>
        <v>0</v>
      </c>
      <c r="K92" s="122"/>
      <c r="L92" s="122"/>
      <c r="M92" s="122"/>
      <c r="N92" s="122"/>
      <c r="O92" s="122"/>
      <c r="P92" s="123">
        <f t="shared" si="3"/>
        <v>0</v>
      </c>
    </row>
    <row r="93" spans="1:16" ht="19.5" customHeight="1">
      <c r="A93" s="202"/>
      <c r="B93" s="179"/>
      <c r="C93" s="81"/>
      <c r="D93" s="81"/>
      <c r="E93" s="228"/>
      <c r="F93" s="178"/>
      <c r="G93" s="84"/>
      <c r="H93" s="122"/>
      <c r="I93" s="84"/>
      <c r="J93" s="123">
        <f t="shared" si="2"/>
        <v>0</v>
      </c>
      <c r="K93" s="122"/>
      <c r="L93" s="122"/>
      <c r="M93" s="122"/>
      <c r="N93" s="122"/>
      <c r="O93" s="122"/>
      <c r="P93" s="123">
        <f t="shared" si="3"/>
        <v>0</v>
      </c>
    </row>
    <row r="94" spans="1:16" ht="19.5" customHeight="1">
      <c r="A94" s="202"/>
      <c r="B94" s="179"/>
      <c r="C94" s="81"/>
      <c r="D94" s="81"/>
      <c r="E94" s="228"/>
      <c r="F94" s="178"/>
      <c r="G94" s="84"/>
      <c r="H94" s="122"/>
      <c r="I94" s="84"/>
      <c r="J94" s="123">
        <f t="shared" si="2"/>
        <v>0</v>
      </c>
      <c r="K94" s="122"/>
      <c r="L94" s="122"/>
      <c r="M94" s="122"/>
      <c r="N94" s="122"/>
      <c r="O94" s="122"/>
      <c r="P94" s="123">
        <f t="shared" si="3"/>
        <v>0</v>
      </c>
    </row>
    <row r="95" spans="1:16" ht="21.75" customHeight="1">
      <c r="A95" s="202"/>
      <c r="B95" s="179"/>
      <c r="C95" s="81"/>
      <c r="D95" s="81"/>
      <c r="E95" s="228"/>
      <c r="F95" s="178"/>
      <c r="G95" s="84"/>
      <c r="H95" s="122"/>
      <c r="I95" s="84"/>
      <c r="J95" s="123">
        <f t="shared" si="2"/>
        <v>0</v>
      </c>
      <c r="K95" s="122"/>
      <c r="L95" s="122"/>
      <c r="M95" s="122"/>
      <c r="N95" s="122"/>
      <c r="O95" s="122"/>
      <c r="P95" s="123">
        <f t="shared" si="3"/>
        <v>0</v>
      </c>
    </row>
    <row r="96" spans="1:16" ht="21.75" customHeight="1">
      <c r="A96" s="202"/>
      <c r="B96" s="179"/>
      <c r="C96" s="81"/>
      <c r="D96" s="81"/>
      <c r="E96" s="228"/>
      <c r="F96" s="178"/>
      <c r="G96" s="84"/>
      <c r="H96" s="122"/>
      <c r="I96" s="84"/>
      <c r="J96" s="123">
        <f t="shared" si="2"/>
        <v>0</v>
      </c>
      <c r="K96" s="122"/>
      <c r="L96" s="122"/>
      <c r="M96" s="122"/>
      <c r="N96" s="122"/>
      <c r="O96" s="122"/>
      <c r="P96" s="123">
        <f t="shared" si="3"/>
        <v>0</v>
      </c>
    </row>
    <row r="97" spans="1:16" ht="21.75" customHeight="1">
      <c r="A97" s="202"/>
      <c r="B97" s="179"/>
      <c r="C97" s="81"/>
      <c r="D97" s="81"/>
      <c r="E97" s="228"/>
      <c r="F97" s="178"/>
      <c r="G97" s="84"/>
      <c r="H97" s="122"/>
      <c r="I97" s="84"/>
      <c r="J97" s="123">
        <f t="shared" si="2"/>
        <v>0</v>
      </c>
      <c r="K97" s="122"/>
      <c r="L97" s="122"/>
      <c r="M97" s="122"/>
      <c r="N97" s="122"/>
      <c r="O97" s="122"/>
      <c r="P97" s="123">
        <f t="shared" si="3"/>
        <v>0</v>
      </c>
    </row>
    <row r="98" spans="1:16" ht="21.75" customHeight="1">
      <c r="A98" s="202"/>
      <c r="B98" s="179"/>
      <c r="C98" s="81"/>
      <c r="D98" s="81"/>
      <c r="E98" s="228"/>
      <c r="F98" s="178"/>
      <c r="G98" s="84"/>
      <c r="H98" s="122"/>
      <c r="I98" s="84"/>
      <c r="J98" s="123">
        <f t="shared" si="2"/>
        <v>0</v>
      </c>
      <c r="K98" s="122"/>
      <c r="L98" s="122"/>
      <c r="M98" s="122"/>
      <c r="N98" s="122"/>
      <c r="O98" s="122"/>
      <c r="P98" s="123">
        <f t="shared" si="3"/>
        <v>0</v>
      </c>
    </row>
    <row r="99" spans="1:16" ht="21.75" customHeight="1">
      <c r="A99" s="202"/>
      <c r="B99" s="179"/>
      <c r="C99" s="81"/>
      <c r="D99" s="81"/>
      <c r="E99" s="228"/>
      <c r="F99" s="178"/>
      <c r="G99" s="84"/>
      <c r="H99" s="122"/>
      <c r="I99" s="84"/>
      <c r="J99" s="123">
        <f t="shared" si="2"/>
        <v>0</v>
      </c>
      <c r="K99" s="122"/>
      <c r="L99" s="122"/>
      <c r="M99" s="122"/>
      <c r="N99" s="122"/>
      <c r="O99" s="122"/>
      <c r="P99" s="123">
        <f t="shared" si="3"/>
        <v>0</v>
      </c>
    </row>
    <row r="100" spans="1:16" ht="21.75" customHeight="1">
      <c r="A100" s="202"/>
      <c r="B100" s="179"/>
      <c r="C100" s="81"/>
      <c r="D100" s="81"/>
      <c r="E100" s="228"/>
      <c r="F100" s="178"/>
      <c r="G100" s="84"/>
      <c r="H100" s="122"/>
      <c r="I100" s="84"/>
      <c r="J100" s="123">
        <f t="shared" si="2"/>
        <v>0</v>
      </c>
      <c r="K100" s="122"/>
      <c r="L100" s="122"/>
      <c r="M100" s="122"/>
      <c r="N100" s="122"/>
      <c r="O100" s="122"/>
      <c r="P100" s="123">
        <f t="shared" si="3"/>
        <v>0</v>
      </c>
    </row>
    <row r="101" spans="1:16" ht="21.75" customHeight="1">
      <c r="A101" s="202"/>
      <c r="B101" s="179"/>
      <c r="C101" s="81"/>
      <c r="D101" s="81"/>
      <c r="E101" s="202"/>
      <c r="F101" s="179"/>
      <c r="G101" s="84"/>
      <c r="H101" s="122"/>
      <c r="I101" s="84"/>
      <c r="J101" s="123">
        <f t="shared" si="2"/>
        <v>0</v>
      </c>
      <c r="K101" s="122"/>
      <c r="L101" s="122"/>
      <c r="M101" s="122"/>
      <c r="N101" s="122"/>
      <c r="O101" s="122"/>
      <c r="P101" s="123">
        <f t="shared" si="3"/>
        <v>0</v>
      </c>
    </row>
    <row r="102" spans="1:16" ht="21.75" customHeight="1">
      <c r="A102" s="202"/>
      <c r="B102" s="179"/>
      <c r="C102" s="81"/>
      <c r="D102" s="81"/>
      <c r="E102" s="202"/>
      <c r="F102" s="179"/>
      <c r="G102" s="84"/>
      <c r="H102" s="122"/>
      <c r="I102" s="84"/>
      <c r="J102" s="123">
        <f t="shared" si="2"/>
        <v>0</v>
      </c>
      <c r="K102" s="122"/>
      <c r="L102" s="122"/>
      <c r="M102" s="122"/>
      <c r="N102" s="122"/>
      <c r="O102" s="122"/>
      <c r="P102" s="123">
        <f t="shared" si="3"/>
        <v>0</v>
      </c>
    </row>
    <row r="103" spans="1:16" ht="19.5" customHeight="1">
      <c r="A103" s="202"/>
      <c r="B103" s="179"/>
      <c r="C103" s="81"/>
      <c r="D103" s="81"/>
      <c r="E103" s="202"/>
      <c r="F103" s="179"/>
      <c r="G103" s="84"/>
      <c r="H103" s="122"/>
      <c r="I103" s="84"/>
      <c r="J103" s="123">
        <f t="shared" si="2"/>
        <v>0</v>
      </c>
      <c r="K103" s="122"/>
      <c r="L103" s="122"/>
      <c r="M103" s="122"/>
      <c r="N103" s="122"/>
      <c r="O103" s="122"/>
      <c r="P103" s="123">
        <f t="shared" si="3"/>
        <v>0</v>
      </c>
    </row>
    <row r="104" spans="1:16" ht="19.5" customHeight="1">
      <c r="A104" s="202"/>
      <c r="B104" s="179"/>
      <c r="C104" s="81"/>
      <c r="D104" s="81"/>
      <c r="E104" s="202"/>
      <c r="F104" s="179"/>
      <c r="G104" s="84"/>
      <c r="H104" s="122"/>
      <c r="I104" s="84"/>
      <c r="J104" s="123">
        <f t="shared" si="2"/>
        <v>0</v>
      </c>
      <c r="K104" s="122"/>
      <c r="L104" s="122"/>
      <c r="M104" s="122"/>
      <c r="N104" s="122"/>
      <c r="O104" s="122"/>
      <c r="P104" s="123">
        <f t="shared" si="3"/>
        <v>0</v>
      </c>
    </row>
    <row r="105" spans="1:16" ht="19.5" customHeight="1">
      <c r="A105" s="202"/>
      <c r="B105" s="179"/>
      <c r="C105" s="81"/>
      <c r="D105" s="81"/>
      <c r="E105" s="202"/>
      <c r="F105" s="179"/>
      <c r="G105" s="84"/>
      <c r="H105" s="122"/>
      <c r="I105" s="84"/>
      <c r="J105" s="123">
        <f t="shared" si="2"/>
        <v>0</v>
      </c>
      <c r="K105" s="122"/>
      <c r="L105" s="122"/>
      <c r="M105" s="122"/>
      <c r="N105" s="122"/>
      <c r="O105" s="122"/>
      <c r="P105" s="123">
        <f t="shared" si="3"/>
        <v>0</v>
      </c>
    </row>
    <row r="106" spans="1:16" ht="19.5" customHeight="1">
      <c r="A106" s="202"/>
      <c r="B106" s="179"/>
      <c r="C106" s="81"/>
      <c r="D106" s="81"/>
      <c r="E106" s="202"/>
      <c r="F106" s="179"/>
      <c r="G106" s="84"/>
      <c r="H106" s="122"/>
      <c r="I106" s="84"/>
      <c r="J106" s="123">
        <f t="shared" si="2"/>
        <v>0</v>
      </c>
      <c r="K106" s="122"/>
      <c r="L106" s="122"/>
      <c r="M106" s="122"/>
      <c r="N106" s="122"/>
      <c r="O106" s="122"/>
      <c r="P106" s="123">
        <f t="shared" si="3"/>
        <v>0</v>
      </c>
    </row>
    <row r="107" spans="1:16" ht="19.5" customHeight="1">
      <c r="A107" s="202"/>
      <c r="B107" s="179"/>
      <c r="C107" s="81"/>
      <c r="D107" s="81"/>
      <c r="E107" s="202"/>
      <c r="F107" s="179"/>
      <c r="G107" s="84"/>
      <c r="H107" s="122"/>
      <c r="I107" s="84"/>
      <c r="J107" s="123">
        <f t="shared" si="2"/>
        <v>0</v>
      </c>
      <c r="K107" s="122"/>
      <c r="L107" s="122"/>
      <c r="M107" s="122"/>
      <c r="N107" s="122"/>
      <c r="O107" s="122"/>
      <c r="P107" s="123">
        <f t="shared" si="3"/>
        <v>0</v>
      </c>
    </row>
    <row r="108" spans="1:16" ht="19.5" customHeight="1">
      <c r="A108" s="202"/>
      <c r="B108" s="179"/>
      <c r="C108" s="81"/>
      <c r="D108" s="81"/>
      <c r="E108" s="228"/>
      <c r="F108" s="178"/>
      <c r="G108" s="84"/>
      <c r="H108" s="122"/>
      <c r="I108" s="84"/>
      <c r="J108" s="123">
        <f t="shared" si="2"/>
        <v>0</v>
      </c>
      <c r="K108" s="122"/>
      <c r="L108" s="122"/>
      <c r="M108" s="122"/>
      <c r="N108" s="122"/>
      <c r="O108" s="122"/>
      <c r="P108" s="123">
        <f t="shared" si="3"/>
        <v>0</v>
      </c>
    </row>
    <row r="109" spans="1:16" ht="19.5" customHeight="1">
      <c r="A109" s="202"/>
      <c r="B109" s="179"/>
      <c r="C109" s="81"/>
      <c r="D109" s="81"/>
      <c r="E109" s="228"/>
      <c r="F109" s="178"/>
      <c r="G109" s="84"/>
      <c r="H109" s="122"/>
      <c r="I109" s="84"/>
      <c r="J109" s="123">
        <f t="shared" si="2"/>
        <v>0</v>
      </c>
      <c r="K109" s="122"/>
      <c r="L109" s="122"/>
      <c r="M109" s="122"/>
      <c r="N109" s="122"/>
      <c r="O109" s="122"/>
      <c r="P109" s="123">
        <f t="shared" si="3"/>
        <v>0</v>
      </c>
    </row>
    <row r="110" spans="1:16" ht="19.5" customHeight="1">
      <c r="A110" s="248" t="s">
        <v>195</v>
      </c>
      <c r="B110" s="178"/>
      <c r="C110" s="178"/>
      <c r="D110" s="178"/>
      <c r="E110" s="178"/>
      <c r="F110" s="178"/>
      <c r="G110" s="178"/>
      <c r="H110" s="178"/>
      <c r="I110" s="179"/>
      <c r="J110" s="123">
        <f t="shared" ref="J110:O110" si="4">SUM(J88:J109)</f>
        <v>0</v>
      </c>
      <c r="K110" s="123">
        <f t="shared" si="4"/>
        <v>0</v>
      </c>
      <c r="L110" s="123">
        <f t="shared" si="4"/>
        <v>0</v>
      </c>
      <c r="M110" s="123">
        <f t="shared" si="4"/>
        <v>0</v>
      </c>
      <c r="N110" s="123">
        <f t="shared" si="4"/>
        <v>0</v>
      </c>
      <c r="O110" s="123">
        <f t="shared" si="4"/>
        <v>0</v>
      </c>
      <c r="P110" s="123">
        <f t="shared" si="3"/>
        <v>0</v>
      </c>
    </row>
  </sheetData>
  <mergeCells count="374">
    <mergeCell ref="A106:B106"/>
    <mergeCell ref="E32:F32"/>
    <mergeCell ref="G32:H32"/>
    <mergeCell ref="K65:L65"/>
    <mergeCell ref="G63:H63"/>
    <mergeCell ref="I63:J63"/>
    <mergeCell ref="A110:I110"/>
    <mergeCell ref="G50:H50"/>
    <mergeCell ref="M81:P81"/>
    <mergeCell ref="E96:F96"/>
    <mergeCell ref="B75:C75"/>
    <mergeCell ref="B62:C62"/>
    <mergeCell ref="G52:H52"/>
    <mergeCell ref="E98:F98"/>
    <mergeCell ref="M76:P76"/>
    <mergeCell ref="B39:C39"/>
    <mergeCell ref="B70:C70"/>
    <mergeCell ref="I85:J85"/>
    <mergeCell ref="O49:P49"/>
    <mergeCell ref="K85:L85"/>
    <mergeCell ref="L44:N44"/>
    <mergeCell ref="K84:L84"/>
    <mergeCell ref="O50:P50"/>
    <mergeCell ref="E45:F45"/>
    <mergeCell ref="A104:B104"/>
    <mergeCell ref="M69:P69"/>
    <mergeCell ref="A14:B14"/>
    <mergeCell ref="L30:N30"/>
    <mergeCell ref="A20:P20"/>
    <mergeCell ref="O42:P42"/>
    <mergeCell ref="G45:H45"/>
    <mergeCell ref="B65:C65"/>
    <mergeCell ref="O52:P52"/>
    <mergeCell ref="G55:H55"/>
    <mergeCell ref="G47:H47"/>
    <mergeCell ref="G46:H46"/>
    <mergeCell ref="B50:C50"/>
    <mergeCell ref="M77:P77"/>
    <mergeCell ref="G40:H40"/>
    <mergeCell ref="G79:H79"/>
    <mergeCell ref="B83:C83"/>
    <mergeCell ref="G73:H73"/>
    <mergeCell ref="I79:J79"/>
    <mergeCell ref="I73:J73"/>
    <mergeCell ref="K73:L73"/>
    <mergeCell ref="O5:P5"/>
    <mergeCell ref="E103:F103"/>
    <mergeCell ref="M68:P68"/>
    <mergeCell ref="B57:C57"/>
    <mergeCell ref="M67:P67"/>
    <mergeCell ref="A12:B12"/>
    <mergeCell ref="C9:P9"/>
    <mergeCell ref="A13:B13"/>
    <mergeCell ref="K6:L6"/>
    <mergeCell ref="C17:P19"/>
    <mergeCell ref="C11:P13"/>
    <mergeCell ref="G36:H36"/>
    <mergeCell ref="L45:N45"/>
    <mergeCell ref="M54:P55"/>
    <mergeCell ref="L38:N38"/>
    <mergeCell ref="B48:C48"/>
    <mergeCell ref="M58:P58"/>
    <mergeCell ref="C25:H25"/>
    <mergeCell ref="A15:B15"/>
    <mergeCell ref="L42:N42"/>
    <mergeCell ref="E50:F50"/>
    <mergeCell ref="O34:P34"/>
    <mergeCell ref="G42:H42"/>
    <mergeCell ref="E52:F52"/>
    <mergeCell ref="B56:C56"/>
    <mergeCell ref="E39:F39"/>
    <mergeCell ref="O39:P39"/>
    <mergeCell ref="E44:F44"/>
    <mergeCell ref="O36:P36"/>
    <mergeCell ref="E102:F102"/>
    <mergeCell ref="K69:L69"/>
    <mergeCell ref="E2:H2"/>
    <mergeCell ref="B35:C35"/>
    <mergeCell ref="G77:H77"/>
    <mergeCell ref="I6:J6"/>
    <mergeCell ref="I77:J77"/>
    <mergeCell ref="A11:B11"/>
    <mergeCell ref="B66:C66"/>
    <mergeCell ref="K64:L64"/>
    <mergeCell ref="I72:J72"/>
    <mergeCell ref="I25:P25"/>
    <mergeCell ref="K72:L72"/>
    <mergeCell ref="G49:H49"/>
    <mergeCell ref="M79:P79"/>
    <mergeCell ref="M73:P73"/>
    <mergeCell ref="M60:P60"/>
    <mergeCell ref="A91:B91"/>
    <mergeCell ref="I82:J82"/>
    <mergeCell ref="E34:F34"/>
    <mergeCell ref="I2:J2"/>
    <mergeCell ref="G78:H78"/>
    <mergeCell ref="B82:C82"/>
    <mergeCell ref="A28:C28"/>
    <mergeCell ref="A5:B5"/>
    <mergeCell ref="K3:P3"/>
    <mergeCell ref="A16:P16"/>
    <mergeCell ref="C15:P15"/>
    <mergeCell ref="O33:P33"/>
    <mergeCell ref="E105:F105"/>
    <mergeCell ref="G34:H34"/>
    <mergeCell ref="B38:C38"/>
    <mergeCell ref="K67:L67"/>
    <mergeCell ref="E99:F99"/>
    <mergeCell ref="E49:F49"/>
    <mergeCell ref="E36:F36"/>
    <mergeCell ref="B40:C40"/>
    <mergeCell ref="E101:F101"/>
    <mergeCell ref="E100:F100"/>
    <mergeCell ref="K82:L82"/>
    <mergeCell ref="A37:P37"/>
    <mergeCell ref="A93:B93"/>
    <mergeCell ref="G81:H81"/>
    <mergeCell ref="I81:J81"/>
    <mergeCell ref="M57:P57"/>
    <mergeCell ref="A88:B88"/>
    <mergeCell ref="E87:F87"/>
    <mergeCell ref="M71:P71"/>
    <mergeCell ref="L34:N34"/>
    <mergeCell ref="L49:N49"/>
    <mergeCell ref="A18:B18"/>
    <mergeCell ref="M6:N6"/>
    <mergeCell ref="B74:C74"/>
    <mergeCell ref="B68:C68"/>
    <mergeCell ref="M84:P84"/>
    <mergeCell ref="M80:P80"/>
    <mergeCell ref="L33:N33"/>
    <mergeCell ref="C6:D6"/>
    <mergeCell ref="I76:J76"/>
    <mergeCell ref="K76:L76"/>
    <mergeCell ref="B42:C42"/>
    <mergeCell ref="O30:P30"/>
    <mergeCell ref="M63:P63"/>
    <mergeCell ref="G39:H39"/>
    <mergeCell ref="B43:C43"/>
    <mergeCell ref="B33:C33"/>
    <mergeCell ref="G44:H44"/>
    <mergeCell ref="I69:J69"/>
    <mergeCell ref="A9:B9"/>
    <mergeCell ref="B41:C41"/>
    <mergeCell ref="B44:C44"/>
    <mergeCell ref="A30:C30"/>
    <mergeCell ref="I3:J3"/>
    <mergeCell ref="K59:L59"/>
    <mergeCell ref="I68:J68"/>
    <mergeCell ref="E30:F30"/>
    <mergeCell ref="G30:H30"/>
    <mergeCell ref="I55:J55"/>
    <mergeCell ref="G5:H5"/>
    <mergeCell ref="I67:J67"/>
    <mergeCell ref="I5:J5"/>
    <mergeCell ref="I24:P24"/>
    <mergeCell ref="K61:L61"/>
    <mergeCell ref="A27:P27"/>
    <mergeCell ref="K62:L62"/>
    <mergeCell ref="O43:P43"/>
    <mergeCell ref="G58:H58"/>
    <mergeCell ref="A17:B17"/>
    <mergeCell ref="L48:N48"/>
    <mergeCell ref="E33:F33"/>
    <mergeCell ref="L39:N39"/>
    <mergeCell ref="A6:B6"/>
    <mergeCell ref="E35:F35"/>
    <mergeCell ref="E28:F28"/>
    <mergeCell ref="E3:H3"/>
    <mergeCell ref="K63:L63"/>
    <mergeCell ref="A109:B109"/>
    <mergeCell ref="C24:H24"/>
    <mergeCell ref="B64:C64"/>
    <mergeCell ref="M74:P74"/>
    <mergeCell ref="A19:B19"/>
    <mergeCell ref="B51:C51"/>
    <mergeCell ref="G75:H75"/>
    <mergeCell ref="C26:H26"/>
    <mergeCell ref="G70:H70"/>
    <mergeCell ref="I70:J70"/>
    <mergeCell ref="I57:J57"/>
    <mergeCell ref="L41:N41"/>
    <mergeCell ref="A92:B92"/>
    <mergeCell ref="B72:C72"/>
    <mergeCell ref="E106:F106"/>
    <mergeCell ref="A95:B95"/>
    <mergeCell ref="A97:B97"/>
    <mergeCell ref="M28:P28"/>
    <mergeCell ref="E29:P29"/>
    <mergeCell ref="A108:B108"/>
    <mergeCell ref="A31:P31"/>
    <mergeCell ref="C23:H23"/>
    <mergeCell ref="B73:C73"/>
    <mergeCell ref="K77:L77"/>
    <mergeCell ref="A96:B96"/>
    <mergeCell ref="E41:F41"/>
    <mergeCell ref="O38:P38"/>
    <mergeCell ref="G41:H41"/>
    <mergeCell ref="B45:C45"/>
    <mergeCell ref="G56:H56"/>
    <mergeCell ref="E43:F43"/>
    <mergeCell ref="G43:H43"/>
    <mergeCell ref="B47:C47"/>
    <mergeCell ref="B59:C59"/>
    <mergeCell ref="B46:C46"/>
    <mergeCell ref="E90:F90"/>
    <mergeCell ref="G65:H65"/>
    <mergeCell ref="G60:H60"/>
    <mergeCell ref="I60:J60"/>
    <mergeCell ref="G74:H74"/>
    <mergeCell ref="M70:P70"/>
    <mergeCell ref="B85:C85"/>
    <mergeCell ref="O44:P44"/>
    <mergeCell ref="A90:B90"/>
    <mergeCell ref="A94:B94"/>
    <mergeCell ref="K83:L83"/>
    <mergeCell ref="K60:L60"/>
    <mergeCell ref="G80:H80"/>
    <mergeCell ref="E51:F51"/>
    <mergeCell ref="B67:C67"/>
    <mergeCell ref="G57:H57"/>
    <mergeCell ref="B61:C61"/>
    <mergeCell ref="O41:P41"/>
    <mergeCell ref="O35:P35"/>
    <mergeCell ref="B69:C69"/>
    <mergeCell ref="L46:N46"/>
    <mergeCell ref="M78:P78"/>
    <mergeCell ref="O47:P47"/>
    <mergeCell ref="L36:N36"/>
    <mergeCell ref="K71:L71"/>
    <mergeCell ref="K2:P2"/>
    <mergeCell ref="A10:P10"/>
    <mergeCell ref="E38:F38"/>
    <mergeCell ref="G38:H38"/>
    <mergeCell ref="A89:B89"/>
    <mergeCell ref="E40:F40"/>
    <mergeCell ref="A105:B105"/>
    <mergeCell ref="E104:F104"/>
    <mergeCell ref="G33:H33"/>
    <mergeCell ref="M64:P64"/>
    <mergeCell ref="G35:H35"/>
    <mergeCell ref="A100:B100"/>
    <mergeCell ref="M65:P65"/>
    <mergeCell ref="C7:P7"/>
    <mergeCell ref="K66:L66"/>
    <mergeCell ref="A102:B102"/>
    <mergeCell ref="I74:J74"/>
    <mergeCell ref="K74:L74"/>
    <mergeCell ref="K68:L68"/>
    <mergeCell ref="A2:B3"/>
    <mergeCell ref="K5:L5"/>
    <mergeCell ref="M5:N5"/>
    <mergeCell ref="B71:C71"/>
    <mergeCell ref="B58:C58"/>
    <mergeCell ref="E109:F109"/>
    <mergeCell ref="E47:F47"/>
    <mergeCell ref="G72:H72"/>
    <mergeCell ref="M61:P61"/>
    <mergeCell ref="O6:P6"/>
    <mergeCell ref="B77:C77"/>
    <mergeCell ref="A21:B26"/>
    <mergeCell ref="A7:B7"/>
    <mergeCell ref="M56:P56"/>
    <mergeCell ref="A99:B99"/>
    <mergeCell ref="I71:J71"/>
    <mergeCell ref="I58:J58"/>
    <mergeCell ref="K58:L58"/>
    <mergeCell ref="A101:B101"/>
    <mergeCell ref="I83:J83"/>
    <mergeCell ref="B49:C49"/>
    <mergeCell ref="I23:P23"/>
    <mergeCell ref="E91:F91"/>
    <mergeCell ref="G85:H85"/>
    <mergeCell ref="E54:L54"/>
    <mergeCell ref="B32:C32"/>
    <mergeCell ref="G84:H84"/>
    <mergeCell ref="B63:C63"/>
    <mergeCell ref="E93:F93"/>
    <mergeCell ref="E108:F108"/>
    <mergeCell ref="I62:J62"/>
    <mergeCell ref="B34:C34"/>
    <mergeCell ref="O46:P46"/>
    <mergeCell ref="E95:F95"/>
    <mergeCell ref="E89:F89"/>
    <mergeCell ref="G64:H64"/>
    <mergeCell ref="I64:J64"/>
    <mergeCell ref="O48:P48"/>
    <mergeCell ref="G51:H51"/>
    <mergeCell ref="M75:P75"/>
    <mergeCell ref="B76:C76"/>
    <mergeCell ref="K57:L57"/>
    <mergeCell ref="A86:P86"/>
    <mergeCell ref="I65:J65"/>
    <mergeCell ref="E42:F42"/>
    <mergeCell ref="E88:F88"/>
    <mergeCell ref="G82:H82"/>
    <mergeCell ref="M66:P66"/>
    <mergeCell ref="I75:J75"/>
    <mergeCell ref="K75:L75"/>
    <mergeCell ref="G83:H83"/>
    <mergeCell ref="K70:L70"/>
    <mergeCell ref="I78:J78"/>
    <mergeCell ref="A1:P1"/>
    <mergeCell ref="O51:P51"/>
    <mergeCell ref="B84:C84"/>
    <mergeCell ref="G76:H76"/>
    <mergeCell ref="B80:C80"/>
    <mergeCell ref="I59:J59"/>
    <mergeCell ref="B79:C79"/>
    <mergeCell ref="B81:C81"/>
    <mergeCell ref="A4:P4"/>
    <mergeCell ref="L40:N40"/>
    <mergeCell ref="G69:H69"/>
    <mergeCell ref="G6:H6"/>
    <mergeCell ref="G28:J28"/>
    <mergeCell ref="B36:C36"/>
    <mergeCell ref="L43:N43"/>
    <mergeCell ref="I84:J84"/>
    <mergeCell ref="K78:L78"/>
    <mergeCell ref="A8:P8"/>
    <mergeCell ref="I80:J80"/>
    <mergeCell ref="K80:L80"/>
    <mergeCell ref="M62:P62"/>
    <mergeCell ref="L51:N51"/>
    <mergeCell ref="K55:L55"/>
    <mergeCell ref="K79:L79"/>
    <mergeCell ref="C5:D5"/>
    <mergeCell ref="A103:B103"/>
    <mergeCell ref="G67:H67"/>
    <mergeCell ref="G61:H61"/>
    <mergeCell ref="E48:F48"/>
    <mergeCell ref="I61:J61"/>
    <mergeCell ref="O45:P45"/>
    <mergeCell ref="G48:H48"/>
    <mergeCell ref="L50:N50"/>
    <mergeCell ref="G62:H62"/>
    <mergeCell ref="A29:C29"/>
    <mergeCell ref="I56:J56"/>
    <mergeCell ref="C22:P22"/>
    <mergeCell ref="L52:N52"/>
    <mergeCell ref="A54:C55"/>
    <mergeCell ref="K56:L56"/>
    <mergeCell ref="E92:F92"/>
    <mergeCell ref="E94:F94"/>
    <mergeCell ref="E97:F97"/>
    <mergeCell ref="A87:B87"/>
    <mergeCell ref="B52:C52"/>
    <mergeCell ref="I26:P26"/>
    <mergeCell ref="M83:P83"/>
    <mergeCell ref="B60:C60"/>
    <mergeCell ref="A107:B107"/>
    <mergeCell ref="G71:H71"/>
    <mergeCell ref="M72:P72"/>
    <mergeCell ref="C14:P14"/>
    <mergeCell ref="K81:L81"/>
    <mergeCell ref="O32:P32"/>
    <mergeCell ref="M59:P59"/>
    <mergeCell ref="G66:H66"/>
    <mergeCell ref="I66:J66"/>
    <mergeCell ref="B78:C78"/>
    <mergeCell ref="G68:H68"/>
    <mergeCell ref="M82:P82"/>
    <mergeCell ref="O40:P40"/>
    <mergeCell ref="L32:N32"/>
    <mergeCell ref="K28:L28"/>
    <mergeCell ref="L47:N47"/>
    <mergeCell ref="G59:H59"/>
    <mergeCell ref="M85:P85"/>
    <mergeCell ref="E107:F107"/>
    <mergeCell ref="E46:F46"/>
    <mergeCell ref="C21:P21"/>
    <mergeCell ref="A98:B98"/>
    <mergeCell ref="A53:P53"/>
    <mergeCell ref="L35:N35"/>
  </mergeCells>
  <phoneticPr fontId="39" type="noConversion"/>
  <conditionalFormatting sqref="P88:P109">
    <cfRule type="cellIs" dxfId="8" priority="2" operator="notEqual">
      <formula>$J88</formula>
    </cfRule>
  </conditionalFormatting>
  <dataValidations count="8">
    <dataValidation type="list" allowBlank="1" showInputMessage="1" showErrorMessage="1" sqref="A88:B109" xr:uid="{00000000-0002-0000-0300-000000000000}">
      <formula1>Child_Protection_Output</formula1>
      <formula2>0</formula2>
    </dataValidation>
    <dataValidation type="list" allowBlank="1" showInputMessage="1" showErrorMessage="1" sqref="E28:G28" xr:uid="{00000000-0002-0000-0300-000001000000}">
      <formula1>"Gender,Disaster risk management ,Others"</formula1>
      <formula2>0</formula2>
    </dataValidation>
    <dataValidation type="list" allowBlank="1" showInputMessage="1" showErrorMessage="1" sqref="E21:O22" xr:uid="{00000000-0002-0000-0300-000002000000}">
      <formula1>"O,X"</formula1>
      <formula2>0</formula2>
    </dataValidation>
    <dataValidation type="list" allowBlank="1" showInputMessage="1" showErrorMessage="1" sqref="C88:C109" xr:uid="{00000000-0002-0000-0300-000003000000}">
      <formula1>Child_Protection_Activity</formula1>
      <formula2>0</formula2>
    </dataValidation>
    <dataValidation type="list" allowBlank="1" showInputMessage="1" sqref="F33:F34" xr:uid="{00000000-0002-0000-0300-000004000000}">
      <formula1>protection_outcome_indicator</formula1>
      <formula2>0</formula2>
    </dataValidation>
    <dataValidation type="list" allowBlank="1" showInputMessage="1" sqref="F38:F46" xr:uid="{00000000-0002-0000-0300-000005000000}">
      <formula1>protection_output_indicator</formula1>
      <formula2>0</formula2>
    </dataValidation>
    <dataValidation type="list" allowBlank="1" showInputMessage="1" showErrorMessage="1" sqref="E32:E36" xr:uid="{00000000-0002-0000-0300-000006000000}">
      <formula1>protection_outcome_indicator</formula1>
      <formula2>0</formula2>
    </dataValidation>
    <dataValidation type="list" allowBlank="1" showInputMessage="1" showErrorMessage="1" sqref="E38:E52" xr:uid="{00000000-0002-0000-0300-000007000000}">
      <formula1>protection_output_indicator</formula1>
      <formula2>0</formula2>
    </dataValidation>
  </dataValidations>
  <pageMargins left="0.7" right="0.7" top="0.75" bottom="0.75" header="0.511811023622047" footer="0.511811023622047"/>
  <pageSetup paperSize="9" scale="36" orientation="portrait" horizontalDpi="300" verticalDpi="300" r:id="rId1"/>
  <rowBreaks count="1" manualBreakCount="1">
    <brk id="19"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13"/>
  <sheetViews>
    <sheetView view="pageBreakPreview" zoomScale="55" zoomScaleNormal="100" zoomScaleSheetLayoutView="55" zoomScalePageLayoutView="80" workbookViewId="0">
      <selection activeCell="I8" sqref="I8:J8"/>
    </sheetView>
  </sheetViews>
  <sheetFormatPr defaultColWidth="8.69921875" defaultRowHeight="13.8" outlineLevelRow="1"/>
  <cols>
    <col min="1" max="1" width="6.69921875" style="71" customWidth="1"/>
    <col min="2" max="2" width="25.3984375" style="23" customWidth="1"/>
    <col min="3" max="3" width="34.69921875" style="71" customWidth="1"/>
    <col min="4" max="4" width="7.19921875" style="71" hidden="1" customWidth="1"/>
    <col min="5" max="5" width="30.3984375" style="71" customWidth="1"/>
    <col min="6" max="6" width="25.69921875" style="71" customWidth="1"/>
    <col min="7" max="16" width="13.19921875" style="71" customWidth="1"/>
    <col min="17" max="18" width="8.69921875" style="71" customWidth="1"/>
    <col min="19" max="16384" width="8.69921875" style="71"/>
  </cols>
  <sheetData>
    <row r="1" spans="1:16" ht="19.5" customHeight="1">
      <c r="A1" s="229" t="s">
        <v>196</v>
      </c>
      <c r="B1" s="178"/>
      <c r="C1" s="178"/>
      <c r="D1" s="178"/>
      <c r="E1" s="178"/>
      <c r="F1" s="178"/>
      <c r="G1" s="178"/>
      <c r="H1" s="178"/>
      <c r="I1" s="178"/>
      <c r="J1" s="178"/>
      <c r="K1" s="178"/>
      <c r="L1" s="178"/>
      <c r="M1" s="178"/>
      <c r="N1" s="178"/>
      <c r="O1" s="178"/>
      <c r="P1" s="179"/>
    </row>
    <row r="2" spans="1:16" ht="19.5" customHeight="1" outlineLevel="1">
      <c r="A2" s="260" t="s">
        <v>74</v>
      </c>
      <c r="B2" s="256"/>
      <c r="C2" s="24" t="s">
        <v>75</v>
      </c>
      <c r="D2" s="24"/>
      <c r="E2" s="278"/>
      <c r="F2" s="181"/>
      <c r="G2" s="181"/>
      <c r="H2" s="182"/>
      <c r="I2" s="251" t="s">
        <v>76</v>
      </c>
      <c r="J2" s="182"/>
      <c r="K2" s="272"/>
      <c r="L2" s="181"/>
      <c r="M2" s="181"/>
      <c r="N2" s="181"/>
      <c r="O2" s="181"/>
      <c r="P2" s="182"/>
    </row>
    <row r="3" spans="1:16" ht="19.5" customHeight="1" outlineLevel="1">
      <c r="A3" s="257"/>
      <c r="B3" s="259"/>
      <c r="C3" s="24" t="s">
        <v>77</v>
      </c>
      <c r="D3" s="24"/>
      <c r="E3" s="278"/>
      <c r="F3" s="181"/>
      <c r="G3" s="181"/>
      <c r="H3" s="182"/>
      <c r="I3" s="251" t="s">
        <v>78</v>
      </c>
      <c r="J3" s="182"/>
      <c r="K3" s="272"/>
      <c r="L3" s="181"/>
      <c r="M3" s="181"/>
      <c r="N3" s="181"/>
      <c r="O3" s="181"/>
      <c r="P3" s="182"/>
    </row>
    <row r="4" spans="1:16" ht="19.5" customHeight="1" outlineLevel="1">
      <c r="A4" s="253" t="s">
        <v>79</v>
      </c>
      <c r="B4" s="181"/>
      <c r="C4" s="181"/>
      <c r="D4" s="181"/>
      <c r="E4" s="181"/>
      <c r="F4" s="181"/>
      <c r="G4" s="181"/>
      <c r="H4" s="181"/>
      <c r="I4" s="181"/>
      <c r="J4" s="181"/>
      <c r="K4" s="181"/>
      <c r="L4" s="181"/>
      <c r="M4" s="181"/>
      <c r="N4" s="181"/>
      <c r="O4" s="181"/>
      <c r="P4" s="182"/>
    </row>
    <row r="5" spans="1:16" ht="19.5" customHeight="1" outlineLevel="1">
      <c r="A5" s="277" t="s">
        <v>197</v>
      </c>
      <c r="B5" s="182"/>
      <c r="C5" s="94" t="s">
        <v>198</v>
      </c>
      <c r="D5" s="94"/>
      <c r="E5" s="94" t="s">
        <v>199</v>
      </c>
      <c r="F5" s="94" t="s">
        <v>200</v>
      </c>
      <c r="G5" s="277" t="s">
        <v>201</v>
      </c>
      <c r="H5" s="182"/>
      <c r="I5" s="277" t="s">
        <v>202</v>
      </c>
      <c r="J5" s="182"/>
      <c r="K5" s="277" t="s">
        <v>203</v>
      </c>
      <c r="L5" s="182"/>
      <c r="M5" s="277" t="s">
        <v>204</v>
      </c>
      <c r="N5" s="182"/>
      <c r="O5" s="94" t="s">
        <v>205</v>
      </c>
      <c r="P5" s="94" t="s">
        <v>206</v>
      </c>
    </row>
    <row r="6" spans="1:16" ht="19.5" customHeight="1" outlineLevel="1">
      <c r="A6" s="251" t="s">
        <v>207</v>
      </c>
      <c r="B6" s="182"/>
      <c r="C6" s="25"/>
      <c r="D6" s="25"/>
      <c r="E6" s="25"/>
      <c r="F6" s="96"/>
      <c r="G6" s="268"/>
      <c r="H6" s="256"/>
      <c r="I6" s="267"/>
      <c r="J6" s="182"/>
      <c r="K6" s="267"/>
      <c r="L6" s="182"/>
      <c r="M6" s="251" t="s">
        <v>33</v>
      </c>
      <c r="N6" s="256"/>
      <c r="O6" s="269"/>
      <c r="P6" s="269"/>
    </row>
    <row r="7" spans="1:16" ht="19.5" customHeight="1" outlineLevel="1">
      <c r="A7" s="251" t="s">
        <v>208</v>
      </c>
      <c r="B7" s="182"/>
      <c r="C7" s="25"/>
      <c r="D7" s="25"/>
      <c r="E7" s="66"/>
      <c r="F7" s="95"/>
      <c r="G7" s="279"/>
      <c r="H7" s="182"/>
      <c r="I7" s="275"/>
      <c r="J7" s="182"/>
      <c r="K7" s="267"/>
      <c r="L7" s="182"/>
      <c r="M7" s="257"/>
      <c r="N7" s="259"/>
      <c r="O7" s="270"/>
      <c r="P7" s="270"/>
    </row>
    <row r="8" spans="1:16" ht="19.5" customHeight="1" outlineLevel="1">
      <c r="A8" s="251" t="s">
        <v>209</v>
      </c>
      <c r="B8" s="182"/>
      <c r="C8" s="25"/>
      <c r="D8" s="25"/>
      <c r="E8" s="66"/>
      <c r="F8" s="95"/>
      <c r="G8" s="279"/>
      <c r="H8" s="182"/>
      <c r="I8" s="275"/>
      <c r="J8" s="182"/>
      <c r="K8" s="267"/>
      <c r="L8" s="182"/>
      <c r="M8" s="251" t="s">
        <v>210</v>
      </c>
      <c r="N8" s="256"/>
      <c r="O8" s="269"/>
      <c r="P8" s="269"/>
    </row>
    <row r="9" spans="1:16" ht="19.5" customHeight="1" outlineLevel="1">
      <c r="A9" s="251" t="s">
        <v>211</v>
      </c>
      <c r="B9" s="182"/>
      <c r="C9" s="25"/>
      <c r="D9" s="25"/>
      <c r="E9" s="25"/>
      <c r="F9" s="97"/>
      <c r="G9" s="266"/>
      <c r="H9" s="259"/>
      <c r="I9" s="267"/>
      <c r="J9" s="182"/>
      <c r="K9" s="267"/>
      <c r="L9" s="182"/>
      <c r="M9" s="257"/>
      <c r="N9" s="259"/>
      <c r="O9" s="270"/>
      <c r="P9" s="270"/>
    </row>
    <row r="10" spans="1:16" ht="41.4" customHeight="1" outlineLevel="1">
      <c r="A10" s="233" t="s">
        <v>89</v>
      </c>
      <c r="B10" s="179"/>
      <c r="C10" s="236" t="s">
        <v>90</v>
      </c>
      <c r="D10" s="178"/>
      <c r="E10" s="178"/>
      <c r="F10" s="178"/>
      <c r="G10" s="178"/>
      <c r="H10" s="178"/>
      <c r="I10" s="178"/>
      <c r="J10" s="178"/>
      <c r="K10" s="178"/>
      <c r="L10" s="178"/>
      <c r="M10" s="178"/>
      <c r="N10" s="178"/>
      <c r="O10" s="178"/>
      <c r="P10" s="179"/>
    </row>
    <row r="11" spans="1:16" ht="19.5" customHeight="1" outlineLevel="1">
      <c r="A11" s="253" t="s">
        <v>91</v>
      </c>
      <c r="B11" s="181"/>
      <c r="C11" s="181"/>
      <c r="D11" s="181"/>
      <c r="E11" s="181"/>
      <c r="F11" s="181"/>
      <c r="G11" s="181"/>
      <c r="H11" s="181"/>
      <c r="I11" s="181"/>
      <c r="J11" s="181"/>
      <c r="K11" s="181"/>
      <c r="L11" s="181"/>
      <c r="M11" s="181"/>
      <c r="N11" s="181"/>
      <c r="O11" s="181"/>
      <c r="P11" s="182"/>
    </row>
    <row r="12" spans="1:16" ht="129.75" customHeight="1" outlineLevel="1">
      <c r="A12" s="260" t="s">
        <v>212</v>
      </c>
      <c r="B12" s="182"/>
      <c r="C12" s="273" t="s">
        <v>213</v>
      </c>
      <c r="D12" s="181"/>
      <c r="E12" s="181"/>
      <c r="F12" s="181"/>
      <c r="G12" s="181"/>
      <c r="H12" s="181"/>
      <c r="I12" s="181"/>
      <c r="J12" s="181"/>
      <c r="K12" s="181"/>
      <c r="L12" s="181"/>
      <c r="M12" s="181"/>
      <c r="N12" s="181"/>
      <c r="O12" s="181"/>
      <c r="P12" s="182"/>
    </row>
    <row r="13" spans="1:16" ht="19.5" customHeight="1" outlineLevel="1">
      <c r="A13" s="284" t="s">
        <v>94</v>
      </c>
      <c r="B13" s="181"/>
      <c r="C13" s="181"/>
      <c r="D13" s="181"/>
      <c r="E13" s="181"/>
      <c r="F13" s="181"/>
      <c r="G13" s="181"/>
      <c r="H13" s="181"/>
      <c r="I13" s="181"/>
      <c r="J13" s="181"/>
      <c r="K13" s="181"/>
      <c r="L13" s="181"/>
      <c r="M13" s="181"/>
      <c r="N13" s="181"/>
      <c r="O13" s="181"/>
      <c r="P13" s="182"/>
    </row>
    <row r="14" spans="1:16" ht="99.75" customHeight="1" outlineLevel="1">
      <c r="A14" s="251" t="s">
        <v>95</v>
      </c>
      <c r="B14" s="182"/>
      <c r="C14" s="282" t="s">
        <v>96</v>
      </c>
      <c r="D14" s="255"/>
      <c r="E14" s="255"/>
      <c r="F14" s="255"/>
      <c r="G14" s="255"/>
      <c r="H14" s="255"/>
      <c r="I14" s="255"/>
      <c r="J14" s="255"/>
      <c r="K14" s="255"/>
      <c r="L14" s="255"/>
      <c r="M14" s="255"/>
      <c r="N14" s="255"/>
      <c r="O14" s="255"/>
      <c r="P14" s="256"/>
    </row>
    <row r="15" spans="1:16" ht="99.75" customHeight="1" outlineLevel="1">
      <c r="A15" s="251" t="s">
        <v>97</v>
      </c>
      <c r="B15" s="182"/>
      <c r="C15" s="261"/>
      <c r="D15" s="283"/>
      <c r="E15" s="283"/>
      <c r="F15" s="283"/>
      <c r="G15" s="283"/>
      <c r="H15" s="283"/>
      <c r="I15" s="283"/>
      <c r="J15" s="283"/>
      <c r="K15" s="283"/>
      <c r="L15" s="283"/>
      <c r="M15" s="283"/>
      <c r="N15" s="283"/>
      <c r="O15" s="283"/>
      <c r="P15" s="262"/>
    </row>
    <row r="16" spans="1:16" ht="99.75" customHeight="1" outlineLevel="1">
      <c r="A16" s="251" t="s">
        <v>98</v>
      </c>
      <c r="B16" s="182"/>
      <c r="C16" s="257"/>
      <c r="D16" s="258"/>
      <c r="E16" s="258"/>
      <c r="F16" s="258"/>
      <c r="G16" s="258"/>
      <c r="H16" s="258"/>
      <c r="I16" s="258"/>
      <c r="J16" s="258"/>
      <c r="K16" s="258"/>
      <c r="L16" s="258"/>
      <c r="M16" s="258"/>
      <c r="N16" s="258"/>
      <c r="O16" s="258"/>
      <c r="P16" s="259"/>
    </row>
    <row r="17" spans="1:16" ht="231" customHeight="1" outlineLevel="1">
      <c r="A17" s="247" t="s">
        <v>99</v>
      </c>
      <c r="B17" s="208"/>
      <c r="C17" s="220" t="s">
        <v>100</v>
      </c>
      <c r="D17" s="207"/>
      <c r="E17" s="207"/>
      <c r="F17" s="207"/>
      <c r="G17" s="207"/>
      <c r="H17" s="207"/>
      <c r="I17" s="207"/>
      <c r="J17" s="207"/>
      <c r="K17" s="207"/>
      <c r="L17" s="207"/>
      <c r="M17" s="207"/>
      <c r="N17" s="207"/>
      <c r="O17" s="207"/>
      <c r="P17" s="208"/>
    </row>
    <row r="18" spans="1:16" ht="231" customHeight="1" outlineLevel="1">
      <c r="A18" s="245" t="s">
        <v>101</v>
      </c>
      <c r="B18" s="179"/>
      <c r="C18" s="242" t="s">
        <v>102</v>
      </c>
      <c r="D18" s="178"/>
      <c r="E18" s="178"/>
      <c r="F18" s="178"/>
      <c r="G18" s="178"/>
      <c r="H18" s="178"/>
      <c r="I18" s="178"/>
      <c r="J18" s="178"/>
      <c r="K18" s="178"/>
      <c r="L18" s="178"/>
      <c r="M18" s="178"/>
      <c r="N18" s="178"/>
      <c r="O18" s="178"/>
      <c r="P18" s="179"/>
    </row>
    <row r="19" spans="1:16" ht="19.5" customHeight="1" outlineLevel="1">
      <c r="A19" s="276" t="s">
        <v>103</v>
      </c>
      <c r="B19" s="181"/>
      <c r="C19" s="181"/>
      <c r="D19" s="181"/>
      <c r="E19" s="181"/>
      <c r="F19" s="181"/>
      <c r="G19" s="181"/>
      <c r="H19" s="181"/>
      <c r="I19" s="181"/>
      <c r="J19" s="181"/>
      <c r="K19" s="181"/>
      <c r="L19" s="181"/>
      <c r="M19" s="181"/>
      <c r="N19" s="181"/>
      <c r="O19" s="181"/>
      <c r="P19" s="182"/>
    </row>
    <row r="20" spans="1:16" ht="99.75" customHeight="1" outlineLevel="1">
      <c r="A20" s="251" t="s">
        <v>104</v>
      </c>
      <c r="B20" s="182"/>
      <c r="C20" s="282" t="s">
        <v>105</v>
      </c>
      <c r="D20" s="255"/>
      <c r="E20" s="255"/>
      <c r="F20" s="255"/>
      <c r="G20" s="255"/>
      <c r="H20" s="255"/>
      <c r="I20" s="255"/>
      <c r="J20" s="255"/>
      <c r="K20" s="255"/>
      <c r="L20" s="255"/>
      <c r="M20" s="255"/>
      <c r="N20" s="255"/>
      <c r="O20" s="255"/>
      <c r="P20" s="256"/>
    </row>
    <row r="21" spans="1:16" ht="99.75" customHeight="1" outlineLevel="1">
      <c r="A21" s="251" t="s">
        <v>106</v>
      </c>
      <c r="B21" s="182"/>
      <c r="C21" s="261"/>
      <c r="D21" s="283"/>
      <c r="E21" s="283"/>
      <c r="F21" s="283"/>
      <c r="G21" s="283"/>
      <c r="H21" s="283"/>
      <c r="I21" s="283"/>
      <c r="J21" s="283"/>
      <c r="K21" s="283"/>
      <c r="L21" s="283"/>
      <c r="M21" s="283"/>
      <c r="N21" s="283"/>
      <c r="O21" s="283"/>
      <c r="P21" s="262"/>
    </row>
    <row r="22" spans="1:16" ht="99.75" customHeight="1" outlineLevel="1">
      <c r="A22" s="251" t="s">
        <v>107</v>
      </c>
      <c r="B22" s="182"/>
      <c r="C22" s="257"/>
      <c r="D22" s="258"/>
      <c r="E22" s="258"/>
      <c r="F22" s="258"/>
      <c r="G22" s="258"/>
      <c r="H22" s="258"/>
      <c r="I22" s="258"/>
      <c r="J22" s="258"/>
      <c r="K22" s="258"/>
      <c r="L22" s="258"/>
      <c r="M22" s="258"/>
      <c r="N22" s="258"/>
      <c r="O22" s="258"/>
      <c r="P22" s="259"/>
    </row>
    <row r="23" spans="1:16" ht="19.5" customHeight="1">
      <c r="A23" s="276" t="s">
        <v>108</v>
      </c>
      <c r="B23" s="181"/>
      <c r="C23" s="181"/>
      <c r="D23" s="181"/>
      <c r="E23" s="181"/>
      <c r="F23" s="181"/>
      <c r="G23" s="181"/>
      <c r="H23" s="181"/>
      <c r="I23" s="181"/>
      <c r="J23" s="181"/>
      <c r="K23" s="181"/>
      <c r="L23" s="181"/>
      <c r="M23" s="181"/>
      <c r="N23" s="181"/>
      <c r="O23" s="181"/>
      <c r="P23" s="182"/>
    </row>
    <row r="24" spans="1:16" ht="19.5" customHeight="1">
      <c r="A24" s="260" t="s">
        <v>109</v>
      </c>
      <c r="B24" s="256"/>
      <c r="C24" s="251" t="s">
        <v>110</v>
      </c>
      <c r="D24" s="181"/>
      <c r="E24" s="181"/>
      <c r="F24" s="181"/>
      <c r="G24" s="181"/>
      <c r="H24" s="181"/>
      <c r="I24" s="181"/>
      <c r="J24" s="181"/>
      <c r="K24" s="181"/>
      <c r="L24" s="181"/>
      <c r="M24" s="181"/>
      <c r="N24" s="181"/>
      <c r="O24" s="181"/>
      <c r="P24" s="182"/>
    </row>
    <row r="25" spans="1:16" ht="19.5" customHeight="1">
      <c r="A25" s="261"/>
      <c r="B25" s="262"/>
      <c r="C25" s="271"/>
      <c r="D25" s="181"/>
      <c r="E25" s="181"/>
      <c r="F25" s="181"/>
      <c r="G25" s="181"/>
      <c r="H25" s="181"/>
      <c r="I25" s="181"/>
      <c r="J25" s="181"/>
      <c r="K25" s="181"/>
      <c r="L25" s="181"/>
      <c r="M25" s="181"/>
      <c r="N25" s="181"/>
      <c r="O25" s="181"/>
      <c r="P25" s="182"/>
    </row>
    <row r="26" spans="1:16" ht="19.5" customHeight="1">
      <c r="A26" s="261"/>
      <c r="B26" s="262"/>
      <c r="C26" s="251" t="s">
        <v>111</v>
      </c>
      <c r="D26" s="181"/>
      <c r="E26" s="181"/>
      <c r="F26" s="181"/>
      <c r="G26" s="181"/>
      <c r="H26" s="182"/>
      <c r="I26" s="251" t="s">
        <v>112</v>
      </c>
      <c r="J26" s="181"/>
      <c r="K26" s="181"/>
      <c r="L26" s="181"/>
      <c r="M26" s="181"/>
      <c r="N26" s="181"/>
      <c r="O26" s="181"/>
      <c r="P26" s="182"/>
    </row>
    <row r="27" spans="1:16" ht="19.5" customHeight="1">
      <c r="A27" s="261"/>
      <c r="B27" s="262"/>
      <c r="C27" s="264"/>
      <c r="D27" s="181"/>
      <c r="E27" s="181"/>
      <c r="F27" s="181"/>
      <c r="G27" s="181"/>
      <c r="H27" s="182"/>
      <c r="I27" s="271"/>
      <c r="J27" s="181"/>
      <c r="K27" s="181"/>
      <c r="L27" s="181"/>
      <c r="M27" s="181"/>
      <c r="N27" s="181"/>
      <c r="O27" s="181"/>
      <c r="P27" s="182"/>
    </row>
    <row r="28" spans="1:16" ht="19.5" customHeight="1">
      <c r="A28" s="261"/>
      <c r="B28" s="262"/>
      <c r="C28" s="264"/>
      <c r="D28" s="181"/>
      <c r="E28" s="181"/>
      <c r="F28" s="181"/>
      <c r="G28" s="181"/>
      <c r="H28" s="182"/>
      <c r="I28" s="271"/>
      <c r="J28" s="181"/>
      <c r="K28" s="181"/>
      <c r="L28" s="181"/>
      <c r="M28" s="181"/>
      <c r="N28" s="181"/>
      <c r="O28" s="181"/>
      <c r="P28" s="182"/>
    </row>
    <row r="29" spans="1:16" ht="19.5" customHeight="1">
      <c r="A29" s="257"/>
      <c r="B29" s="259"/>
      <c r="C29" s="264"/>
      <c r="D29" s="181"/>
      <c r="E29" s="181"/>
      <c r="F29" s="181"/>
      <c r="G29" s="181"/>
      <c r="H29" s="182"/>
      <c r="I29" s="271"/>
      <c r="J29" s="181"/>
      <c r="K29" s="181"/>
      <c r="L29" s="181"/>
      <c r="M29" s="181"/>
      <c r="N29" s="181"/>
      <c r="O29" s="181"/>
      <c r="P29" s="182"/>
    </row>
    <row r="30" spans="1:16" ht="19.5" customHeight="1">
      <c r="A30" s="253" t="s">
        <v>113</v>
      </c>
      <c r="B30" s="181"/>
      <c r="C30" s="181"/>
      <c r="D30" s="181"/>
      <c r="E30" s="181"/>
      <c r="F30" s="181"/>
      <c r="G30" s="181"/>
      <c r="H30" s="181"/>
      <c r="I30" s="181"/>
      <c r="J30" s="181"/>
      <c r="K30" s="181"/>
      <c r="L30" s="181"/>
      <c r="M30" s="181"/>
      <c r="N30" s="181"/>
      <c r="O30" s="181"/>
      <c r="P30" s="182"/>
    </row>
    <row r="31" spans="1:16" ht="20.25" customHeight="1">
      <c r="A31" s="251" t="s">
        <v>114</v>
      </c>
      <c r="B31" s="181"/>
      <c r="C31" s="182"/>
      <c r="D31" s="89"/>
      <c r="E31" s="264"/>
      <c r="F31" s="182"/>
      <c r="G31" s="264"/>
      <c r="H31" s="181"/>
      <c r="I31" s="181"/>
      <c r="J31" s="182"/>
      <c r="K31" s="251" t="s">
        <v>88</v>
      </c>
      <c r="L31" s="182"/>
      <c r="M31" s="281"/>
      <c r="N31" s="181"/>
      <c r="O31" s="181"/>
      <c r="P31" s="182"/>
    </row>
    <row r="32" spans="1:16" ht="20.25" customHeight="1">
      <c r="A32" s="251" t="s">
        <v>115</v>
      </c>
      <c r="B32" s="181"/>
      <c r="C32" s="182"/>
      <c r="D32" s="89"/>
      <c r="E32" s="251" t="s">
        <v>116</v>
      </c>
      <c r="F32" s="181"/>
      <c r="G32" s="181"/>
      <c r="H32" s="181"/>
      <c r="I32" s="181"/>
      <c r="J32" s="181"/>
      <c r="K32" s="181"/>
      <c r="L32" s="181"/>
      <c r="M32" s="181"/>
      <c r="N32" s="181"/>
      <c r="O32" s="181"/>
      <c r="P32" s="182"/>
    </row>
    <row r="33" spans="1:16" ht="19.5" customHeight="1">
      <c r="A33" s="254" t="s">
        <v>117</v>
      </c>
      <c r="B33" s="181"/>
      <c r="C33" s="182"/>
      <c r="D33" s="93"/>
      <c r="E33" s="254" t="s">
        <v>118</v>
      </c>
      <c r="F33" s="182"/>
      <c r="G33" s="274" t="s">
        <v>119</v>
      </c>
      <c r="H33" s="182"/>
      <c r="I33" s="93" t="s">
        <v>120</v>
      </c>
      <c r="J33" s="93" t="s">
        <v>121</v>
      </c>
      <c r="K33" s="93" t="s">
        <v>122</v>
      </c>
      <c r="L33" s="254" t="s">
        <v>123</v>
      </c>
      <c r="M33" s="181"/>
      <c r="N33" s="182"/>
      <c r="O33" s="254" t="s">
        <v>124</v>
      </c>
      <c r="P33" s="182"/>
    </row>
    <row r="34" spans="1:16" ht="19.5" customHeight="1">
      <c r="A34" s="263" t="s">
        <v>125</v>
      </c>
      <c r="B34" s="181"/>
      <c r="C34" s="181"/>
      <c r="D34" s="181"/>
      <c r="E34" s="181"/>
      <c r="F34" s="181"/>
      <c r="G34" s="181"/>
      <c r="H34" s="181"/>
      <c r="I34" s="181"/>
      <c r="J34" s="181"/>
      <c r="K34" s="181"/>
      <c r="L34" s="181"/>
      <c r="M34" s="181"/>
      <c r="N34" s="181"/>
      <c r="O34" s="181"/>
      <c r="P34" s="182"/>
    </row>
    <row r="35" spans="1:16" ht="19.5" customHeight="1">
      <c r="A35" s="26" t="s">
        <v>126</v>
      </c>
      <c r="B35" s="223"/>
      <c r="C35" s="179"/>
      <c r="D35" s="81"/>
      <c r="E35" s="223"/>
      <c r="F35" s="179"/>
      <c r="G35" s="223"/>
      <c r="H35" s="179"/>
      <c r="I35" s="84"/>
      <c r="J35" s="84"/>
      <c r="K35" s="84"/>
      <c r="L35" s="223"/>
      <c r="M35" s="178"/>
      <c r="N35" s="179"/>
      <c r="O35" s="223"/>
      <c r="P35" s="179"/>
    </row>
    <row r="36" spans="1:16" ht="19.5" customHeight="1">
      <c r="A36" s="27" t="s">
        <v>127</v>
      </c>
      <c r="B36" s="249"/>
      <c r="C36" s="182"/>
      <c r="D36" s="91"/>
      <c r="E36" s="249"/>
      <c r="F36" s="182"/>
      <c r="G36" s="249"/>
      <c r="H36" s="182"/>
      <c r="I36" s="91"/>
      <c r="J36" s="91"/>
      <c r="K36" s="91"/>
      <c r="L36" s="249"/>
      <c r="M36" s="181"/>
      <c r="N36" s="182"/>
      <c r="O36" s="249"/>
      <c r="P36" s="182"/>
    </row>
    <row r="37" spans="1:16" ht="19.5" customHeight="1">
      <c r="A37" s="27" t="s">
        <v>128</v>
      </c>
      <c r="B37" s="249"/>
      <c r="C37" s="182"/>
      <c r="D37" s="91"/>
      <c r="E37" s="249"/>
      <c r="F37" s="182"/>
      <c r="G37" s="249"/>
      <c r="H37" s="182"/>
      <c r="I37" s="91"/>
      <c r="J37" s="91"/>
      <c r="K37" s="91"/>
      <c r="L37" s="249"/>
      <c r="M37" s="181"/>
      <c r="N37" s="182"/>
      <c r="O37" s="249"/>
      <c r="P37" s="182"/>
    </row>
    <row r="38" spans="1:16" ht="19.5" customHeight="1">
      <c r="A38" s="26" t="s">
        <v>129</v>
      </c>
      <c r="B38" s="223"/>
      <c r="C38" s="179"/>
      <c r="D38" s="81"/>
      <c r="E38" s="223"/>
      <c r="F38" s="179"/>
      <c r="G38" s="223"/>
      <c r="H38" s="179"/>
      <c r="I38" s="84"/>
      <c r="J38" s="84"/>
      <c r="K38" s="84"/>
      <c r="L38" s="223"/>
      <c r="M38" s="178"/>
      <c r="N38" s="179"/>
      <c r="O38" s="223"/>
      <c r="P38" s="179"/>
    </row>
    <row r="39" spans="1:16" ht="19.5" customHeight="1">
      <c r="A39" s="26" t="s">
        <v>130</v>
      </c>
      <c r="B39" s="223"/>
      <c r="C39" s="179"/>
      <c r="D39" s="81"/>
      <c r="E39" s="223"/>
      <c r="F39" s="179"/>
      <c r="G39" s="223"/>
      <c r="H39" s="179"/>
      <c r="I39" s="84"/>
      <c r="J39" s="84"/>
      <c r="K39" s="84"/>
      <c r="L39" s="223"/>
      <c r="M39" s="178"/>
      <c r="N39" s="179"/>
      <c r="O39" s="223"/>
      <c r="P39" s="179"/>
    </row>
    <row r="40" spans="1:16" ht="19.5" customHeight="1">
      <c r="A40" s="263" t="s">
        <v>131</v>
      </c>
      <c r="B40" s="181"/>
      <c r="C40" s="181"/>
      <c r="D40" s="181"/>
      <c r="E40" s="181"/>
      <c r="F40" s="181"/>
      <c r="G40" s="181"/>
      <c r="H40" s="181"/>
      <c r="I40" s="181"/>
      <c r="J40" s="181"/>
      <c r="K40" s="181"/>
      <c r="L40" s="181"/>
      <c r="M40" s="181"/>
      <c r="N40" s="181"/>
      <c r="O40" s="181"/>
      <c r="P40" s="182"/>
    </row>
    <row r="41" spans="1:16" ht="19.5" customHeight="1">
      <c r="A41" s="27" t="s">
        <v>132</v>
      </c>
      <c r="B41" s="249"/>
      <c r="C41" s="182"/>
      <c r="D41" s="90" t="str">
        <f t="shared" ref="D41:D55" si="0">A41&amp;" "&amp;B41</f>
        <v xml:space="preserve">1.1 </v>
      </c>
      <c r="E41" s="249"/>
      <c r="F41" s="182"/>
      <c r="G41" s="249"/>
      <c r="H41" s="182"/>
      <c r="I41" s="91"/>
      <c r="J41" s="91"/>
      <c r="K41" s="91"/>
      <c r="L41" s="249"/>
      <c r="M41" s="181"/>
      <c r="N41" s="182"/>
      <c r="O41" s="249"/>
      <c r="P41" s="182"/>
    </row>
    <row r="42" spans="1:16" ht="19.5" customHeight="1">
      <c r="A42" s="27" t="s">
        <v>133</v>
      </c>
      <c r="B42" s="249"/>
      <c r="C42" s="182"/>
      <c r="D42" s="90" t="str">
        <f t="shared" si="0"/>
        <v xml:space="preserve">1.2 </v>
      </c>
      <c r="E42" s="249"/>
      <c r="F42" s="182"/>
      <c r="G42" s="249"/>
      <c r="H42" s="182"/>
      <c r="I42" s="91"/>
      <c r="J42" s="91"/>
      <c r="K42" s="91"/>
      <c r="L42" s="249"/>
      <c r="M42" s="181"/>
      <c r="N42" s="182"/>
      <c r="O42" s="249"/>
      <c r="P42" s="182"/>
    </row>
    <row r="43" spans="1:16" ht="19.5" customHeight="1">
      <c r="A43" s="27" t="s">
        <v>134</v>
      </c>
      <c r="B43" s="249"/>
      <c r="C43" s="182"/>
      <c r="D43" s="90" t="str">
        <f t="shared" si="0"/>
        <v xml:space="preserve">1.3 </v>
      </c>
      <c r="E43" s="249"/>
      <c r="F43" s="182"/>
      <c r="G43" s="249"/>
      <c r="H43" s="182"/>
      <c r="I43" s="91"/>
      <c r="J43" s="91"/>
      <c r="K43" s="91"/>
      <c r="L43" s="249"/>
      <c r="M43" s="181"/>
      <c r="N43" s="182"/>
      <c r="O43" s="249"/>
      <c r="P43" s="182"/>
    </row>
    <row r="44" spans="1:16" ht="19.5" customHeight="1">
      <c r="A44" s="27" t="s">
        <v>135</v>
      </c>
      <c r="B44" s="249"/>
      <c r="C44" s="182"/>
      <c r="D44" s="90" t="str">
        <f t="shared" si="0"/>
        <v xml:space="preserve">2.1 </v>
      </c>
      <c r="E44" s="249"/>
      <c r="F44" s="182"/>
      <c r="G44" s="249"/>
      <c r="H44" s="182"/>
      <c r="I44" s="91"/>
      <c r="J44" s="91"/>
      <c r="K44" s="91"/>
      <c r="L44" s="249"/>
      <c r="M44" s="181"/>
      <c r="N44" s="182"/>
      <c r="O44" s="249"/>
      <c r="P44" s="182"/>
    </row>
    <row r="45" spans="1:16" ht="19.5" customHeight="1">
      <c r="A45" s="27" t="s">
        <v>136</v>
      </c>
      <c r="B45" s="249"/>
      <c r="C45" s="182"/>
      <c r="D45" s="90" t="str">
        <f t="shared" si="0"/>
        <v xml:space="preserve">2.2 </v>
      </c>
      <c r="E45" s="249"/>
      <c r="F45" s="182"/>
      <c r="G45" s="249"/>
      <c r="H45" s="182"/>
      <c r="I45" s="91"/>
      <c r="J45" s="91"/>
      <c r="K45" s="91"/>
      <c r="L45" s="249"/>
      <c r="M45" s="181"/>
      <c r="N45" s="182"/>
      <c r="O45" s="249"/>
      <c r="P45" s="182"/>
    </row>
    <row r="46" spans="1:16" ht="19.5" customHeight="1">
      <c r="A46" s="27" t="s">
        <v>137</v>
      </c>
      <c r="B46" s="249"/>
      <c r="C46" s="182"/>
      <c r="D46" s="90" t="str">
        <f t="shared" si="0"/>
        <v xml:space="preserve">2.3 </v>
      </c>
      <c r="E46" s="249"/>
      <c r="F46" s="182"/>
      <c r="G46" s="249"/>
      <c r="H46" s="182"/>
      <c r="I46" s="91"/>
      <c r="J46" s="91"/>
      <c r="K46" s="91"/>
      <c r="L46" s="249"/>
      <c r="M46" s="181"/>
      <c r="N46" s="182"/>
      <c r="O46" s="249"/>
      <c r="P46" s="182"/>
    </row>
    <row r="47" spans="1:16" ht="19.5" customHeight="1">
      <c r="A47" s="27" t="s">
        <v>138</v>
      </c>
      <c r="B47" s="249"/>
      <c r="C47" s="182"/>
      <c r="D47" s="90" t="str">
        <f t="shared" si="0"/>
        <v xml:space="preserve">3.1 </v>
      </c>
      <c r="E47" s="249"/>
      <c r="F47" s="182"/>
      <c r="G47" s="249"/>
      <c r="H47" s="182"/>
      <c r="I47" s="91"/>
      <c r="J47" s="91"/>
      <c r="K47" s="91"/>
      <c r="L47" s="249"/>
      <c r="M47" s="181"/>
      <c r="N47" s="182"/>
      <c r="O47" s="249"/>
      <c r="P47" s="182"/>
    </row>
    <row r="48" spans="1:16" ht="19.5" customHeight="1">
      <c r="A48" s="27" t="s">
        <v>139</v>
      </c>
      <c r="B48" s="249"/>
      <c r="C48" s="182"/>
      <c r="D48" s="90" t="str">
        <f t="shared" si="0"/>
        <v xml:space="preserve">3.2 </v>
      </c>
      <c r="E48" s="249"/>
      <c r="F48" s="182"/>
      <c r="G48" s="249"/>
      <c r="H48" s="182"/>
      <c r="I48" s="91"/>
      <c r="J48" s="91"/>
      <c r="K48" s="91"/>
      <c r="L48" s="249"/>
      <c r="M48" s="181"/>
      <c r="N48" s="182"/>
      <c r="O48" s="249"/>
      <c r="P48" s="182"/>
    </row>
    <row r="49" spans="1:16" ht="19.5" customHeight="1">
      <c r="A49" s="27" t="s">
        <v>140</v>
      </c>
      <c r="B49" s="249"/>
      <c r="C49" s="182"/>
      <c r="D49" s="90" t="str">
        <f t="shared" si="0"/>
        <v xml:space="preserve">3.3 </v>
      </c>
      <c r="E49" s="249"/>
      <c r="F49" s="182"/>
      <c r="G49" s="249"/>
      <c r="H49" s="182"/>
      <c r="I49" s="91"/>
      <c r="J49" s="91"/>
      <c r="K49" s="91"/>
      <c r="L49" s="249"/>
      <c r="M49" s="181"/>
      <c r="N49" s="182"/>
      <c r="O49" s="249"/>
      <c r="P49" s="182"/>
    </row>
    <row r="50" spans="1:16" ht="19.5" customHeight="1">
      <c r="A50" s="26" t="s">
        <v>141</v>
      </c>
      <c r="B50" s="202"/>
      <c r="C50" s="179"/>
      <c r="D50" s="81" t="str">
        <f t="shared" si="0"/>
        <v xml:space="preserve">4.1 </v>
      </c>
      <c r="E50" s="202"/>
      <c r="F50" s="179"/>
      <c r="G50" s="202"/>
      <c r="H50" s="179"/>
      <c r="I50" s="84"/>
      <c r="J50" s="84"/>
      <c r="K50" s="84"/>
      <c r="L50" s="224"/>
      <c r="M50" s="178"/>
      <c r="N50" s="179"/>
      <c r="O50" s="202"/>
      <c r="P50" s="179"/>
    </row>
    <row r="51" spans="1:16" ht="19.5" customHeight="1">
      <c r="A51" s="26" t="s">
        <v>142</v>
      </c>
      <c r="B51" s="202"/>
      <c r="C51" s="179"/>
      <c r="D51" s="81" t="str">
        <f t="shared" si="0"/>
        <v xml:space="preserve">4.2 </v>
      </c>
      <c r="E51" s="202"/>
      <c r="F51" s="179"/>
      <c r="G51" s="202"/>
      <c r="H51" s="179"/>
      <c r="I51" s="84"/>
      <c r="J51" s="84"/>
      <c r="K51" s="84"/>
      <c r="L51" s="224"/>
      <c r="M51" s="178"/>
      <c r="N51" s="179"/>
      <c r="O51" s="202"/>
      <c r="P51" s="179"/>
    </row>
    <row r="52" spans="1:16" ht="19.5" customHeight="1">
      <c r="A52" s="26" t="s">
        <v>143</v>
      </c>
      <c r="B52" s="202"/>
      <c r="C52" s="179"/>
      <c r="D52" s="81" t="str">
        <f t="shared" si="0"/>
        <v xml:space="preserve">4.3 </v>
      </c>
      <c r="E52" s="202"/>
      <c r="F52" s="179"/>
      <c r="G52" s="202"/>
      <c r="H52" s="179"/>
      <c r="I52" s="84"/>
      <c r="J52" s="84"/>
      <c r="K52" s="84"/>
      <c r="L52" s="224"/>
      <c r="M52" s="178"/>
      <c r="N52" s="179"/>
      <c r="O52" s="202"/>
      <c r="P52" s="179"/>
    </row>
    <row r="53" spans="1:16" ht="19.5" customHeight="1">
      <c r="A53" s="26" t="s">
        <v>144</v>
      </c>
      <c r="B53" s="202"/>
      <c r="C53" s="179"/>
      <c r="D53" s="81" t="str">
        <f t="shared" si="0"/>
        <v xml:space="preserve">5.1 </v>
      </c>
      <c r="E53" s="202"/>
      <c r="F53" s="179"/>
      <c r="G53" s="202"/>
      <c r="H53" s="179"/>
      <c r="I53" s="84"/>
      <c r="J53" s="84"/>
      <c r="K53" s="84"/>
      <c r="L53" s="224"/>
      <c r="M53" s="178"/>
      <c r="N53" s="179"/>
      <c r="O53" s="202"/>
      <c r="P53" s="179"/>
    </row>
    <row r="54" spans="1:16" ht="19.5" customHeight="1">
      <c r="A54" s="26" t="s">
        <v>145</v>
      </c>
      <c r="B54" s="202"/>
      <c r="C54" s="179"/>
      <c r="D54" s="81" t="str">
        <f t="shared" si="0"/>
        <v xml:space="preserve">5.2 </v>
      </c>
      <c r="E54" s="202"/>
      <c r="F54" s="179"/>
      <c r="G54" s="202"/>
      <c r="H54" s="179"/>
      <c r="I54" s="84"/>
      <c r="J54" s="84"/>
      <c r="K54" s="84"/>
      <c r="L54" s="224"/>
      <c r="M54" s="178"/>
      <c r="N54" s="179"/>
      <c r="O54" s="202"/>
      <c r="P54" s="179"/>
    </row>
    <row r="55" spans="1:16" ht="19.5" customHeight="1">
      <c r="A55" s="26" t="s">
        <v>146</v>
      </c>
      <c r="B55" s="202"/>
      <c r="C55" s="179"/>
      <c r="D55" s="81" t="str">
        <f t="shared" si="0"/>
        <v xml:space="preserve">5.3 </v>
      </c>
      <c r="E55" s="202"/>
      <c r="F55" s="179"/>
      <c r="G55" s="202"/>
      <c r="H55" s="179"/>
      <c r="I55" s="84"/>
      <c r="J55" s="84"/>
      <c r="K55" s="84"/>
      <c r="L55" s="224"/>
      <c r="M55" s="178"/>
      <c r="N55" s="179"/>
      <c r="O55" s="202"/>
      <c r="P55" s="179"/>
    </row>
    <row r="56" spans="1:16" ht="19.5" customHeight="1">
      <c r="A56" s="253" t="s">
        <v>147</v>
      </c>
      <c r="B56" s="181"/>
      <c r="C56" s="181"/>
      <c r="D56" s="181"/>
      <c r="E56" s="181"/>
      <c r="F56" s="181"/>
      <c r="G56" s="181"/>
      <c r="H56" s="181"/>
      <c r="I56" s="181"/>
      <c r="J56" s="181"/>
      <c r="K56" s="181"/>
      <c r="L56" s="181"/>
      <c r="M56" s="181"/>
      <c r="N56" s="181"/>
      <c r="O56" s="181"/>
      <c r="P56" s="182"/>
    </row>
    <row r="57" spans="1:16" ht="19.5" customHeight="1">
      <c r="A57" s="254" t="s">
        <v>148</v>
      </c>
      <c r="B57" s="255"/>
      <c r="C57" s="256"/>
      <c r="D57" s="93"/>
      <c r="E57" s="254" t="s">
        <v>149</v>
      </c>
      <c r="F57" s="181"/>
      <c r="G57" s="181"/>
      <c r="H57" s="181"/>
      <c r="I57" s="181"/>
      <c r="J57" s="181"/>
      <c r="K57" s="181"/>
      <c r="L57" s="182"/>
      <c r="M57" s="254" t="s">
        <v>88</v>
      </c>
      <c r="N57" s="255"/>
      <c r="O57" s="255"/>
      <c r="P57" s="256"/>
    </row>
    <row r="58" spans="1:16" ht="19.5" customHeight="1">
      <c r="A58" s="257"/>
      <c r="B58" s="258"/>
      <c r="C58" s="259"/>
      <c r="D58" s="93"/>
      <c r="E58" s="93" t="s">
        <v>150</v>
      </c>
      <c r="F58" s="93" t="s">
        <v>151</v>
      </c>
      <c r="G58" s="254" t="s">
        <v>152</v>
      </c>
      <c r="H58" s="182"/>
      <c r="I58" s="254" t="s">
        <v>153</v>
      </c>
      <c r="J58" s="182"/>
      <c r="K58" s="254" t="s">
        <v>154</v>
      </c>
      <c r="L58" s="182"/>
      <c r="M58" s="257"/>
      <c r="N58" s="258"/>
      <c r="O58" s="258"/>
      <c r="P58" s="259"/>
    </row>
    <row r="59" spans="1:16" ht="19.5" customHeight="1">
      <c r="A59" s="27" t="s">
        <v>155</v>
      </c>
      <c r="B59" s="249"/>
      <c r="C59" s="182"/>
      <c r="D59" s="91" t="str">
        <f t="shared" ref="D59:D88" si="1">A59&amp;" "&amp;B59</f>
        <v xml:space="preserve">1.1.1 </v>
      </c>
      <c r="E59" s="92"/>
      <c r="F59" s="92"/>
      <c r="G59" s="252"/>
      <c r="H59" s="182"/>
      <c r="I59" s="250"/>
      <c r="J59" s="182"/>
      <c r="K59" s="250"/>
      <c r="L59" s="182"/>
      <c r="M59" s="249"/>
      <c r="N59" s="181"/>
      <c r="O59" s="181"/>
      <c r="P59" s="182"/>
    </row>
    <row r="60" spans="1:16" ht="19.5" customHeight="1">
      <c r="A60" s="27" t="s">
        <v>156</v>
      </c>
      <c r="B60" s="249"/>
      <c r="C60" s="182"/>
      <c r="D60" s="91" t="str">
        <f t="shared" si="1"/>
        <v xml:space="preserve">1.1.2 </v>
      </c>
      <c r="E60" s="92"/>
      <c r="F60" s="92"/>
      <c r="G60" s="252"/>
      <c r="H60" s="182"/>
      <c r="I60" s="250"/>
      <c r="J60" s="182"/>
      <c r="K60" s="250"/>
      <c r="L60" s="182"/>
      <c r="M60" s="249"/>
      <c r="N60" s="181"/>
      <c r="O60" s="181"/>
      <c r="P60" s="182"/>
    </row>
    <row r="61" spans="1:16" ht="19.5" customHeight="1">
      <c r="A61" s="27" t="s">
        <v>157</v>
      </c>
      <c r="B61" s="249"/>
      <c r="C61" s="182"/>
      <c r="D61" s="91" t="str">
        <f t="shared" si="1"/>
        <v xml:space="preserve">1.2.1 </v>
      </c>
      <c r="E61" s="92"/>
      <c r="F61" s="92"/>
      <c r="G61" s="252"/>
      <c r="H61" s="182"/>
      <c r="I61" s="250"/>
      <c r="J61" s="182"/>
      <c r="K61" s="250"/>
      <c r="L61" s="182"/>
      <c r="M61" s="249"/>
      <c r="N61" s="181"/>
      <c r="O61" s="181"/>
      <c r="P61" s="182"/>
    </row>
    <row r="62" spans="1:16" ht="19.5" customHeight="1">
      <c r="A62" s="27" t="s">
        <v>158</v>
      </c>
      <c r="B62" s="249"/>
      <c r="C62" s="182"/>
      <c r="D62" s="91" t="str">
        <f t="shared" si="1"/>
        <v xml:space="preserve">1.2.2 </v>
      </c>
      <c r="E62" s="92"/>
      <c r="F62" s="92"/>
      <c r="G62" s="252"/>
      <c r="H62" s="182"/>
      <c r="I62" s="250"/>
      <c r="J62" s="182"/>
      <c r="K62" s="250"/>
      <c r="L62" s="182"/>
      <c r="M62" s="249"/>
      <c r="N62" s="181"/>
      <c r="O62" s="181"/>
      <c r="P62" s="182"/>
    </row>
    <row r="63" spans="1:16" ht="19.5" customHeight="1">
      <c r="A63" s="27" t="s">
        <v>159</v>
      </c>
      <c r="B63" s="249"/>
      <c r="C63" s="182"/>
      <c r="D63" s="91" t="str">
        <f t="shared" si="1"/>
        <v xml:space="preserve">1.3.1 </v>
      </c>
      <c r="E63" s="92"/>
      <c r="F63" s="92"/>
      <c r="G63" s="252"/>
      <c r="H63" s="182"/>
      <c r="I63" s="250"/>
      <c r="J63" s="182"/>
      <c r="K63" s="250"/>
      <c r="L63" s="182"/>
      <c r="M63" s="249"/>
      <c r="N63" s="181"/>
      <c r="O63" s="181"/>
      <c r="P63" s="182"/>
    </row>
    <row r="64" spans="1:16" ht="19.5" customHeight="1">
      <c r="A64" s="27" t="s">
        <v>160</v>
      </c>
      <c r="B64" s="249"/>
      <c r="C64" s="182"/>
      <c r="D64" s="91" t="str">
        <f t="shared" si="1"/>
        <v xml:space="preserve">1.3.2 </v>
      </c>
      <c r="E64" s="92"/>
      <c r="F64" s="92"/>
      <c r="G64" s="252"/>
      <c r="H64" s="182"/>
      <c r="I64" s="250"/>
      <c r="J64" s="182"/>
      <c r="K64" s="250"/>
      <c r="L64" s="182"/>
      <c r="M64" s="249"/>
      <c r="N64" s="181"/>
      <c r="O64" s="181"/>
      <c r="P64" s="182"/>
    </row>
    <row r="65" spans="1:16" ht="19.5" customHeight="1">
      <c r="A65" s="27" t="s">
        <v>161</v>
      </c>
      <c r="B65" s="249"/>
      <c r="C65" s="182"/>
      <c r="D65" s="91" t="str">
        <f t="shared" si="1"/>
        <v xml:space="preserve">2.1.1 </v>
      </c>
      <c r="E65" s="92"/>
      <c r="F65" s="92"/>
      <c r="G65" s="252"/>
      <c r="H65" s="182"/>
      <c r="I65" s="250"/>
      <c r="J65" s="182"/>
      <c r="K65" s="250"/>
      <c r="L65" s="182"/>
      <c r="M65" s="249"/>
      <c r="N65" s="181"/>
      <c r="O65" s="181"/>
      <c r="P65" s="182"/>
    </row>
    <row r="66" spans="1:16" ht="19.5" customHeight="1">
      <c r="A66" s="27" t="s">
        <v>162</v>
      </c>
      <c r="B66" s="249"/>
      <c r="C66" s="182"/>
      <c r="D66" s="91" t="str">
        <f t="shared" si="1"/>
        <v xml:space="preserve">2.1.2 </v>
      </c>
      <c r="E66" s="92"/>
      <c r="F66" s="92"/>
      <c r="G66" s="252"/>
      <c r="H66" s="182"/>
      <c r="I66" s="250"/>
      <c r="J66" s="182"/>
      <c r="K66" s="250"/>
      <c r="L66" s="182"/>
      <c r="M66" s="249"/>
      <c r="N66" s="181"/>
      <c r="O66" s="181"/>
      <c r="P66" s="182"/>
    </row>
    <row r="67" spans="1:16" ht="19.5" customHeight="1">
      <c r="A67" s="27" t="s">
        <v>163</v>
      </c>
      <c r="B67" s="249"/>
      <c r="C67" s="182"/>
      <c r="D67" s="91" t="str">
        <f t="shared" si="1"/>
        <v xml:space="preserve">2.2.1 </v>
      </c>
      <c r="E67" s="92"/>
      <c r="F67" s="92"/>
      <c r="G67" s="252"/>
      <c r="H67" s="182"/>
      <c r="I67" s="250"/>
      <c r="J67" s="182"/>
      <c r="K67" s="250"/>
      <c r="L67" s="182"/>
      <c r="M67" s="249"/>
      <c r="N67" s="181"/>
      <c r="O67" s="181"/>
      <c r="P67" s="182"/>
    </row>
    <row r="68" spans="1:16" ht="19.5" customHeight="1">
      <c r="A68" s="27" t="s">
        <v>164</v>
      </c>
      <c r="B68" s="249"/>
      <c r="C68" s="182"/>
      <c r="D68" s="91" t="str">
        <f t="shared" si="1"/>
        <v xml:space="preserve">2.2.2 </v>
      </c>
      <c r="E68" s="92"/>
      <c r="F68" s="92"/>
      <c r="G68" s="252"/>
      <c r="H68" s="182"/>
      <c r="I68" s="250"/>
      <c r="J68" s="182"/>
      <c r="K68" s="250"/>
      <c r="L68" s="182"/>
      <c r="M68" s="249"/>
      <c r="N68" s="181"/>
      <c r="O68" s="181"/>
      <c r="P68" s="182"/>
    </row>
    <row r="69" spans="1:16" ht="19.5" customHeight="1">
      <c r="A69" s="27" t="s">
        <v>165</v>
      </c>
      <c r="B69" s="249"/>
      <c r="C69" s="182"/>
      <c r="D69" s="91" t="str">
        <f t="shared" si="1"/>
        <v xml:space="preserve">2.3.1 </v>
      </c>
      <c r="E69" s="92"/>
      <c r="F69" s="92"/>
      <c r="G69" s="252"/>
      <c r="H69" s="182"/>
      <c r="I69" s="250"/>
      <c r="J69" s="182"/>
      <c r="K69" s="250"/>
      <c r="L69" s="182"/>
      <c r="M69" s="249"/>
      <c r="N69" s="181"/>
      <c r="O69" s="181"/>
      <c r="P69" s="182"/>
    </row>
    <row r="70" spans="1:16" ht="19.5" customHeight="1">
      <c r="A70" s="27" t="s">
        <v>166</v>
      </c>
      <c r="B70" s="249"/>
      <c r="C70" s="182"/>
      <c r="D70" s="91" t="str">
        <f t="shared" si="1"/>
        <v xml:space="preserve">2.3.2 </v>
      </c>
      <c r="E70" s="92"/>
      <c r="F70" s="92"/>
      <c r="G70" s="252"/>
      <c r="H70" s="182"/>
      <c r="I70" s="250"/>
      <c r="J70" s="182"/>
      <c r="K70" s="250"/>
      <c r="L70" s="182"/>
      <c r="M70" s="249"/>
      <c r="N70" s="181"/>
      <c r="O70" s="181"/>
      <c r="P70" s="182"/>
    </row>
    <row r="71" spans="1:16" ht="24" customHeight="1">
      <c r="A71" s="27" t="s">
        <v>167</v>
      </c>
      <c r="B71" s="249"/>
      <c r="C71" s="182"/>
      <c r="D71" s="91" t="str">
        <f t="shared" si="1"/>
        <v xml:space="preserve">3.1.1 </v>
      </c>
      <c r="E71" s="92"/>
      <c r="F71" s="92"/>
      <c r="G71" s="252"/>
      <c r="H71" s="182"/>
      <c r="I71" s="250"/>
      <c r="J71" s="182"/>
      <c r="K71" s="250"/>
      <c r="L71" s="182"/>
      <c r="M71" s="249"/>
      <c r="N71" s="181"/>
      <c r="O71" s="181"/>
      <c r="P71" s="182"/>
    </row>
    <row r="72" spans="1:16" ht="19.5" customHeight="1">
      <c r="A72" s="27" t="s">
        <v>168</v>
      </c>
      <c r="B72" s="249"/>
      <c r="C72" s="182"/>
      <c r="D72" s="91" t="str">
        <f t="shared" si="1"/>
        <v xml:space="preserve">3.1.2 </v>
      </c>
      <c r="E72" s="92"/>
      <c r="F72" s="92"/>
      <c r="G72" s="252"/>
      <c r="H72" s="182"/>
      <c r="I72" s="250"/>
      <c r="J72" s="182"/>
      <c r="K72" s="250"/>
      <c r="L72" s="182"/>
      <c r="M72" s="249"/>
      <c r="N72" s="181"/>
      <c r="O72" s="181"/>
      <c r="P72" s="182"/>
    </row>
    <row r="73" spans="1:16" ht="24" customHeight="1">
      <c r="A73" s="27" t="s">
        <v>169</v>
      </c>
      <c r="B73" s="249"/>
      <c r="C73" s="182"/>
      <c r="D73" s="91" t="str">
        <f t="shared" si="1"/>
        <v xml:space="preserve">3.2.1 </v>
      </c>
      <c r="E73" s="92"/>
      <c r="F73" s="92"/>
      <c r="G73" s="252"/>
      <c r="H73" s="182"/>
      <c r="I73" s="250"/>
      <c r="J73" s="182"/>
      <c r="K73" s="250"/>
      <c r="L73" s="182"/>
      <c r="M73" s="249"/>
      <c r="N73" s="181"/>
      <c r="O73" s="181"/>
      <c r="P73" s="182"/>
    </row>
    <row r="74" spans="1:16" ht="19.5" customHeight="1">
      <c r="A74" s="27" t="s">
        <v>170</v>
      </c>
      <c r="B74" s="249"/>
      <c r="C74" s="182"/>
      <c r="D74" s="91" t="str">
        <f t="shared" si="1"/>
        <v xml:space="preserve">3.2.2 </v>
      </c>
      <c r="E74" s="92"/>
      <c r="F74" s="92"/>
      <c r="G74" s="252"/>
      <c r="H74" s="182"/>
      <c r="I74" s="250"/>
      <c r="J74" s="182"/>
      <c r="K74" s="250"/>
      <c r="L74" s="182"/>
      <c r="M74" s="249"/>
      <c r="N74" s="181"/>
      <c r="O74" s="181"/>
      <c r="P74" s="182"/>
    </row>
    <row r="75" spans="1:16" ht="24" customHeight="1">
      <c r="A75" s="27" t="s">
        <v>171</v>
      </c>
      <c r="B75" s="249"/>
      <c r="C75" s="182"/>
      <c r="D75" s="91" t="str">
        <f t="shared" si="1"/>
        <v xml:space="preserve">3.3.1 </v>
      </c>
      <c r="E75" s="92"/>
      <c r="F75" s="92"/>
      <c r="G75" s="252"/>
      <c r="H75" s="182"/>
      <c r="I75" s="250"/>
      <c r="J75" s="182"/>
      <c r="K75" s="250"/>
      <c r="L75" s="182"/>
      <c r="M75" s="249"/>
      <c r="N75" s="181"/>
      <c r="O75" s="181"/>
      <c r="P75" s="182"/>
    </row>
    <row r="76" spans="1:16" ht="19.5" customHeight="1">
      <c r="A76" s="27" t="s">
        <v>172</v>
      </c>
      <c r="B76" s="249"/>
      <c r="C76" s="182"/>
      <c r="D76" s="91" t="str">
        <f t="shared" si="1"/>
        <v xml:space="preserve">3.3.2 </v>
      </c>
      <c r="E76" s="92"/>
      <c r="F76" s="92"/>
      <c r="G76" s="252"/>
      <c r="H76" s="182"/>
      <c r="I76" s="250"/>
      <c r="J76" s="182"/>
      <c r="K76" s="250"/>
      <c r="L76" s="182"/>
      <c r="M76" s="249"/>
      <c r="N76" s="181"/>
      <c r="O76" s="181"/>
      <c r="P76" s="182"/>
    </row>
    <row r="77" spans="1:16" ht="19.5" customHeight="1">
      <c r="A77" s="26" t="s">
        <v>173</v>
      </c>
      <c r="B77" s="202"/>
      <c r="C77" s="179"/>
      <c r="D77" s="83" t="str">
        <f t="shared" si="1"/>
        <v xml:space="preserve">4.1.1 </v>
      </c>
      <c r="E77" s="84"/>
      <c r="F77" s="84"/>
      <c r="G77" s="221"/>
      <c r="H77" s="179"/>
      <c r="I77" s="221"/>
      <c r="J77" s="179"/>
      <c r="K77" s="221"/>
      <c r="L77" s="179"/>
      <c r="M77" s="202"/>
      <c r="N77" s="178"/>
      <c r="O77" s="178"/>
      <c r="P77" s="179"/>
    </row>
    <row r="78" spans="1:16" ht="19.5" customHeight="1">
      <c r="A78" s="26" t="s">
        <v>174</v>
      </c>
      <c r="B78" s="202"/>
      <c r="C78" s="179"/>
      <c r="D78" s="83" t="str">
        <f t="shared" si="1"/>
        <v xml:space="preserve">4.1.2 </v>
      </c>
      <c r="E78" s="84"/>
      <c r="F78" s="84"/>
      <c r="G78" s="221"/>
      <c r="H78" s="179"/>
      <c r="I78" s="221"/>
      <c r="J78" s="179"/>
      <c r="K78" s="221"/>
      <c r="L78" s="179"/>
      <c r="M78" s="202"/>
      <c r="N78" s="178"/>
      <c r="O78" s="178"/>
      <c r="P78" s="179"/>
    </row>
    <row r="79" spans="1:16" ht="19.5" customHeight="1">
      <c r="A79" s="26" t="s">
        <v>175</v>
      </c>
      <c r="B79" s="202"/>
      <c r="C79" s="179"/>
      <c r="D79" s="83" t="str">
        <f t="shared" si="1"/>
        <v xml:space="preserve">4.2.1 </v>
      </c>
      <c r="E79" s="84"/>
      <c r="F79" s="84"/>
      <c r="G79" s="221"/>
      <c r="H79" s="179"/>
      <c r="I79" s="221"/>
      <c r="J79" s="179"/>
      <c r="K79" s="221"/>
      <c r="L79" s="179"/>
      <c r="M79" s="202"/>
      <c r="N79" s="178"/>
      <c r="O79" s="178"/>
      <c r="P79" s="179"/>
    </row>
    <row r="80" spans="1:16" ht="19.5" customHeight="1">
      <c r="A80" s="26" t="s">
        <v>176</v>
      </c>
      <c r="B80" s="202"/>
      <c r="C80" s="179"/>
      <c r="D80" s="83" t="str">
        <f t="shared" si="1"/>
        <v xml:space="preserve">4.2.2 </v>
      </c>
      <c r="E80" s="84"/>
      <c r="F80" s="84"/>
      <c r="G80" s="221"/>
      <c r="H80" s="179"/>
      <c r="I80" s="221"/>
      <c r="J80" s="179"/>
      <c r="K80" s="221"/>
      <c r="L80" s="179"/>
      <c r="M80" s="202"/>
      <c r="N80" s="178"/>
      <c r="O80" s="178"/>
      <c r="P80" s="179"/>
    </row>
    <row r="81" spans="1:16" ht="19.5" customHeight="1">
      <c r="A81" s="26" t="s">
        <v>177</v>
      </c>
      <c r="B81" s="202"/>
      <c r="C81" s="179"/>
      <c r="D81" s="83" t="str">
        <f t="shared" si="1"/>
        <v xml:space="preserve">4.3.1 </v>
      </c>
      <c r="E81" s="84"/>
      <c r="F81" s="84"/>
      <c r="G81" s="221"/>
      <c r="H81" s="179"/>
      <c r="I81" s="221"/>
      <c r="J81" s="179"/>
      <c r="K81" s="221"/>
      <c r="L81" s="179"/>
      <c r="M81" s="202"/>
      <c r="N81" s="178"/>
      <c r="O81" s="178"/>
      <c r="P81" s="179"/>
    </row>
    <row r="82" spans="1:16" ht="19.5" customHeight="1">
      <c r="A82" s="26" t="s">
        <v>178</v>
      </c>
      <c r="B82" s="202"/>
      <c r="C82" s="179"/>
      <c r="D82" s="83" t="str">
        <f t="shared" si="1"/>
        <v xml:space="preserve">4.3.2 </v>
      </c>
      <c r="E82" s="84"/>
      <c r="F82" s="84"/>
      <c r="G82" s="221"/>
      <c r="H82" s="179"/>
      <c r="I82" s="221"/>
      <c r="J82" s="179"/>
      <c r="K82" s="221"/>
      <c r="L82" s="179"/>
      <c r="M82" s="202"/>
      <c r="N82" s="178"/>
      <c r="O82" s="178"/>
      <c r="P82" s="179"/>
    </row>
    <row r="83" spans="1:16" ht="19.5" customHeight="1">
      <c r="A83" s="26" t="s">
        <v>179</v>
      </c>
      <c r="B83" s="202"/>
      <c r="C83" s="179"/>
      <c r="D83" s="83" t="str">
        <f t="shared" si="1"/>
        <v xml:space="preserve">5.1.1 </v>
      </c>
      <c r="E83" s="84"/>
      <c r="F83" s="84"/>
      <c r="G83" s="221"/>
      <c r="H83" s="179"/>
      <c r="I83" s="221"/>
      <c r="J83" s="179"/>
      <c r="K83" s="221"/>
      <c r="L83" s="179"/>
      <c r="M83" s="202"/>
      <c r="N83" s="178"/>
      <c r="O83" s="178"/>
      <c r="P83" s="179"/>
    </row>
    <row r="84" spans="1:16" ht="19.5" customHeight="1">
      <c r="A84" s="26" t="s">
        <v>180</v>
      </c>
      <c r="B84" s="202"/>
      <c r="C84" s="179"/>
      <c r="D84" s="83" t="str">
        <f t="shared" si="1"/>
        <v xml:space="preserve">5.1.2 </v>
      </c>
      <c r="E84" s="84"/>
      <c r="F84" s="84"/>
      <c r="G84" s="221"/>
      <c r="H84" s="179"/>
      <c r="I84" s="221"/>
      <c r="J84" s="179"/>
      <c r="K84" s="221"/>
      <c r="L84" s="179"/>
      <c r="M84" s="202"/>
      <c r="N84" s="178"/>
      <c r="O84" s="178"/>
      <c r="P84" s="179"/>
    </row>
    <row r="85" spans="1:16" ht="19.5" customHeight="1">
      <c r="A85" s="26" t="s">
        <v>181</v>
      </c>
      <c r="B85" s="202"/>
      <c r="C85" s="179"/>
      <c r="D85" s="83" t="str">
        <f t="shared" si="1"/>
        <v xml:space="preserve">5.2.1 </v>
      </c>
      <c r="E85" s="84"/>
      <c r="F85" s="84"/>
      <c r="G85" s="221"/>
      <c r="H85" s="179"/>
      <c r="I85" s="221"/>
      <c r="J85" s="179"/>
      <c r="K85" s="221"/>
      <c r="L85" s="179"/>
      <c r="M85" s="202"/>
      <c r="N85" s="178"/>
      <c r="O85" s="178"/>
      <c r="P85" s="179"/>
    </row>
    <row r="86" spans="1:16" ht="19.5" customHeight="1">
      <c r="A86" s="26" t="s">
        <v>182</v>
      </c>
      <c r="B86" s="202"/>
      <c r="C86" s="179"/>
      <c r="D86" s="83" t="str">
        <f t="shared" si="1"/>
        <v xml:space="preserve">5.2.2 </v>
      </c>
      <c r="E86" s="84"/>
      <c r="F86" s="84"/>
      <c r="G86" s="221"/>
      <c r="H86" s="179"/>
      <c r="I86" s="221"/>
      <c r="J86" s="179"/>
      <c r="K86" s="221"/>
      <c r="L86" s="179"/>
      <c r="M86" s="202"/>
      <c r="N86" s="178"/>
      <c r="O86" s="178"/>
      <c r="P86" s="179"/>
    </row>
    <row r="87" spans="1:16" ht="19.5" customHeight="1">
      <c r="A87" s="26" t="s">
        <v>183</v>
      </c>
      <c r="B87" s="202"/>
      <c r="C87" s="179"/>
      <c r="D87" s="83" t="str">
        <f t="shared" si="1"/>
        <v xml:space="preserve">5.3.1 </v>
      </c>
      <c r="E87" s="84"/>
      <c r="F87" s="84"/>
      <c r="G87" s="221"/>
      <c r="H87" s="179"/>
      <c r="I87" s="221"/>
      <c r="J87" s="179"/>
      <c r="K87" s="221"/>
      <c r="L87" s="179"/>
      <c r="M87" s="202"/>
      <c r="N87" s="178"/>
      <c r="O87" s="178"/>
      <c r="P87" s="179"/>
    </row>
    <row r="88" spans="1:16" ht="19.5" customHeight="1">
      <c r="A88" s="26" t="s">
        <v>184</v>
      </c>
      <c r="B88" s="202"/>
      <c r="C88" s="179"/>
      <c r="D88" s="83" t="str">
        <f t="shared" si="1"/>
        <v xml:space="preserve">5.3.2 </v>
      </c>
      <c r="E88" s="84"/>
      <c r="F88" s="84"/>
      <c r="G88" s="221"/>
      <c r="H88" s="179"/>
      <c r="I88" s="221"/>
      <c r="J88" s="179"/>
      <c r="K88" s="221"/>
      <c r="L88" s="179"/>
      <c r="M88" s="202"/>
      <c r="N88" s="178"/>
      <c r="O88" s="178"/>
      <c r="P88" s="179"/>
    </row>
    <row r="89" spans="1:16" ht="19.5" customHeight="1">
      <c r="A89" s="253" t="s">
        <v>185</v>
      </c>
      <c r="B89" s="181"/>
      <c r="C89" s="181"/>
      <c r="D89" s="181"/>
      <c r="E89" s="181"/>
      <c r="F89" s="181"/>
      <c r="G89" s="181"/>
      <c r="H89" s="181"/>
      <c r="I89" s="181"/>
      <c r="J89" s="181"/>
      <c r="K89" s="181"/>
      <c r="L89" s="181"/>
      <c r="M89" s="181"/>
      <c r="N89" s="181"/>
      <c r="O89" s="181"/>
      <c r="P89" s="182"/>
    </row>
    <row r="90" spans="1:16" ht="19.5" customHeight="1">
      <c r="A90" s="251" t="s">
        <v>131</v>
      </c>
      <c r="B90" s="182"/>
      <c r="C90" s="251" t="s">
        <v>214</v>
      </c>
      <c r="D90" s="182"/>
      <c r="E90" s="280" t="s">
        <v>186</v>
      </c>
      <c r="F90" s="181"/>
      <c r="G90" s="89" t="s">
        <v>120</v>
      </c>
      <c r="H90" s="89" t="s">
        <v>187</v>
      </c>
      <c r="I90" s="89" t="s">
        <v>188</v>
      </c>
      <c r="J90" s="89" t="s">
        <v>189</v>
      </c>
      <c r="K90" s="89" t="s">
        <v>190</v>
      </c>
      <c r="L90" s="89" t="s">
        <v>191</v>
      </c>
      <c r="M90" s="89" t="s">
        <v>192</v>
      </c>
      <c r="N90" s="89" t="s">
        <v>193</v>
      </c>
      <c r="O90" s="89" t="s">
        <v>194</v>
      </c>
      <c r="P90" s="89" t="s">
        <v>189</v>
      </c>
    </row>
    <row r="91" spans="1:16" ht="19.5" customHeight="1">
      <c r="A91" s="249"/>
      <c r="B91" s="182"/>
      <c r="C91" s="249"/>
      <c r="D91" s="182"/>
      <c r="E91" s="265"/>
      <c r="F91" s="182"/>
      <c r="G91" s="28"/>
      <c r="H91" s="124"/>
      <c r="I91" s="91"/>
      <c r="J91" s="123">
        <f t="shared" ref="J91:J112" si="2">H91*I91</f>
        <v>0</v>
      </c>
      <c r="K91" s="125"/>
      <c r="L91" s="125"/>
      <c r="M91" s="125"/>
      <c r="N91" s="125"/>
      <c r="O91" s="125"/>
      <c r="P91" s="123">
        <f t="shared" ref="P91:P113" si="3">SUM(K91:O91)</f>
        <v>0</v>
      </c>
    </row>
    <row r="92" spans="1:16" ht="19.5" customHeight="1">
      <c r="A92" s="249"/>
      <c r="B92" s="182"/>
      <c r="C92" s="249"/>
      <c r="D92" s="182"/>
      <c r="E92" s="265"/>
      <c r="F92" s="182"/>
      <c r="G92" s="28"/>
      <c r="H92" s="124"/>
      <c r="I92" s="91"/>
      <c r="J92" s="123">
        <f t="shared" si="2"/>
        <v>0</v>
      </c>
      <c r="K92" s="125"/>
      <c r="L92" s="125"/>
      <c r="M92" s="125"/>
      <c r="N92" s="125"/>
      <c r="O92" s="125"/>
      <c r="P92" s="123">
        <f t="shared" si="3"/>
        <v>0</v>
      </c>
    </row>
    <row r="93" spans="1:16" ht="19.5" customHeight="1">
      <c r="A93" s="249"/>
      <c r="B93" s="182"/>
      <c r="C93" s="249"/>
      <c r="D93" s="182"/>
      <c r="E93" s="265"/>
      <c r="F93" s="182"/>
      <c r="G93" s="28"/>
      <c r="H93" s="124"/>
      <c r="I93" s="91"/>
      <c r="J93" s="123">
        <f t="shared" si="2"/>
        <v>0</v>
      </c>
      <c r="K93" s="125"/>
      <c r="L93" s="125"/>
      <c r="M93" s="125"/>
      <c r="N93" s="125"/>
      <c r="O93" s="125"/>
      <c r="P93" s="123">
        <f t="shared" si="3"/>
        <v>0</v>
      </c>
    </row>
    <row r="94" spans="1:16" ht="19.5" customHeight="1">
      <c r="A94" s="249"/>
      <c r="B94" s="182"/>
      <c r="C94" s="249"/>
      <c r="D94" s="182"/>
      <c r="E94" s="265"/>
      <c r="F94" s="182"/>
      <c r="G94" s="28"/>
      <c r="H94" s="124"/>
      <c r="I94" s="91"/>
      <c r="J94" s="123">
        <f t="shared" si="2"/>
        <v>0</v>
      </c>
      <c r="K94" s="125"/>
      <c r="L94" s="125"/>
      <c r="M94" s="125"/>
      <c r="N94" s="125"/>
      <c r="O94" s="125"/>
      <c r="P94" s="123">
        <f t="shared" si="3"/>
        <v>0</v>
      </c>
    </row>
    <row r="95" spans="1:16" ht="19.5" customHeight="1">
      <c r="A95" s="249"/>
      <c r="B95" s="182"/>
      <c r="C95" s="249"/>
      <c r="D95" s="182"/>
      <c r="E95" s="265"/>
      <c r="F95" s="182"/>
      <c r="G95" s="28"/>
      <c r="H95" s="124"/>
      <c r="I95" s="91"/>
      <c r="J95" s="123">
        <f t="shared" si="2"/>
        <v>0</v>
      </c>
      <c r="K95" s="125"/>
      <c r="L95" s="125"/>
      <c r="M95" s="125"/>
      <c r="N95" s="125"/>
      <c r="O95" s="125"/>
      <c r="P95" s="123">
        <f t="shared" si="3"/>
        <v>0</v>
      </c>
    </row>
    <row r="96" spans="1:16" ht="19.5" customHeight="1">
      <c r="A96" s="249"/>
      <c r="B96" s="182"/>
      <c r="C96" s="249"/>
      <c r="D96" s="182"/>
      <c r="E96" s="265"/>
      <c r="F96" s="182"/>
      <c r="G96" s="28"/>
      <c r="H96" s="124"/>
      <c r="I96" s="91"/>
      <c r="J96" s="123">
        <f t="shared" si="2"/>
        <v>0</v>
      </c>
      <c r="K96" s="125"/>
      <c r="L96" s="125"/>
      <c r="M96" s="125"/>
      <c r="N96" s="125"/>
      <c r="O96" s="125"/>
      <c r="P96" s="123">
        <f t="shared" si="3"/>
        <v>0</v>
      </c>
    </row>
    <row r="97" spans="1:16" ht="19.5" customHeight="1">
      <c r="A97" s="249"/>
      <c r="B97" s="182"/>
      <c r="C97" s="249"/>
      <c r="D97" s="182"/>
      <c r="E97" s="265"/>
      <c r="F97" s="182"/>
      <c r="G97" s="28"/>
      <c r="H97" s="124"/>
      <c r="I97" s="91"/>
      <c r="J97" s="123">
        <f t="shared" si="2"/>
        <v>0</v>
      </c>
      <c r="K97" s="125"/>
      <c r="L97" s="125"/>
      <c r="M97" s="125"/>
      <c r="N97" s="125"/>
      <c r="O97" s="125"/>
      <c r="P97" s="123">
        <f t="shared" si="3"/>
        <v>0</v>
      </c>
    </row>
    <row r="98" spans="1:16" ht="19.5" customHeight="1">
      <c r="A98" s="249"/>
      <c r="B98" s="182"/>
      <c r="C98" s="249"/>
      <c r="D98" s="182"/>
      <c r="E98" s="265"/>
      <c r="F98" s="182"/>
      <c r="G98" s="28"/>
      <c r="H98" s="124"/>
      <c r="I98" s="91"/>
      <c r="J98" s="123">
        <f t="shared" si="2"/>
        <v>0</v>
      </c>
      <c r="K98" s="125"/>
      <c r="L98" s="125"/>
      <c r="M98" s="125"/>
      <c r="N98" s="125"/>
      <c r="O98" s="125"/>
      <c r="P98" s="123">
        <f t="shared" si="3"/>
        <v>0</v>
      </c>
    </row>
    <row r="99" spans="1:16" ht="19.5" customHeight="1">
      <c r="A99" s="249"/>
      <c r="B99" s="182"/>
      <c r="C99" s="249"/>
      <c r="D99" s="182"/>
      <c r="E99" s="265"/>
      <c r="F99" s="182"/>
      <c r="G99" s="28"/>
      <c r="H99" s="124"/>
      <c r="I99" s="91"/>
      <c r="J99" s="123">
        <f t="shared" si="2"/>
        <v>0</v>
      </c>
      <c r="K99" s="125"/>
      <c r="L99" s="125"/>
      <c r="M99" s="125"/>
      <c r="N99" s="125"/>
      <c r="O99" s="125"/>
      <c r="P99" s="123">
        <f t="shared" si="3"/>
        <v>0</v>
      </c>
    </row>
    <row r="100" spans="1:16" ht="19.5" customHeight="1">
      <c r="A100" s="249"/>
      <c r="B100" s="182"/>
      <c r="C100" s="249"/>
      <c r="D100" s="182"/>
      <c r="E100" s="265"/>
      <c r="F100" s="182"/>
      <c r="G100" s="28"/>
      <c r="H100" s="124"/>
      <c r="I100" s="91"/>
      <c r="J100" s="123">
        <f t="shared" si="2"/>
        <v>0</v>
      </c>
      <c r="K100" s="125"/>
      <c r="L100" s="125"/>
      <c r="M100" s="125"/>
      <c r="N100" s="125"/>
      <c r="O100" s="125"/>
      <c r="P100" s="123">
        <f t="shared" si="3"/>
        <v>0</v>
      </c>
    </row>
    <row r="101" spans="1:16" ht="19.5" customHeight="1">
      <c r="A101" s="249"/>
      <c r="B101" s="182"/>
      <c r="C101" s="249"/>
      <c r="D101" s="182"/>
      <c r="E101" s="265"/>
      <c r="F101" s="182"/>
      <c r="G101" s="28"/>
      <c r="H101" s="124"/>
      <c r="I101" s="91"/>
      <c r="J101" s="123">
        <f t="shared" si="2"/>
        <v>0</v>
      </c>
      <c r="K101" s="125"/>
      <c r="L101" s="125"/>
      <c r="M101" s="125"/>
      <c r="N101" s="125"/>
      <c r="O101" s="125"/>
      <c r="P101" s="123">
        <f t="shared" si="3"/>
        <v>0</v>
      </c>
    </row>
    <row r="102" spans="1:16" ht="19.5" customHeight="1">
      <c r="A102" s="249"/>
      <c r="B102" s="182"/>
      <c r="C102" s="249"/>
      <c r="D102" s="182"/>
      <c r="E102" s="265"/>
      <c r="F102" s="182"/>
      <c r="G102" s="28"/>
      <c r="H102" s="124"/>
      <c r="I102" s="91"/>
      <c r="J102" s="123">
        <f t="shared" si="2"/>
        <v>0</v>
      </c>
      <c r="K102" s="125"/>
      <c r="L102" s="125"/>
      <c r="M102" s="125"/>
      <c r="N102" s="125"/>
      <c r="O102" s="125"/>
      <c r="P102" s="123">
        <f t="shared" si="3"/>
        <v>0</v>
      </c>
    </row>
    <row r="103" spans="1:16" ht="19.5" customHeight="1">
      <c r="A103" s="249"/>
      <c r="B103" s="182"/>
      <c r="C103" s="249"/>
      <c r="D103" s="182"/>
      <c r="E103" s="265"/>
      <c r="F103" s="182"/>
      <c r="G103" s="28"/>
      <c r="H103" s="124"/>
      <c r="I103" s="91"/>
      <c r="J103" s="123">
        <f t="shared" si="2"/>
        <v>0</v>
      </c>
      <c r="K103" s="125"/>
      <c r="L103" s="125"/>
      <c r="M103" s="125"/>
      <c r="N103" s="125"/>
      <c r="O103" s="125"/>
      <c r="P103" s="123">
        <f t="shared" si="3"/>
        <v>0</v>
      </c>
    </row>
    <row r="104" spans="1:16" ht="19.5" customHeight="1">
      <c r="A104" s="249"/>
      <c r="B104" s="182"/>
      <c r="C104" s="249"/>
      <c r="D104" s="182"/>
      <c r="E104" s="265"/>
      <c r="F104" s="182"/>
      <c r="G104" s="28"/>
      <c r="H104" s="124"/>
      <c r="I104" s="91"/>
      <c r="J104" s="123">
        <f t="shared" si="2"/>
        <v>0</v>
      </c>
      <c r="K104" s="125"/>
      <c r="L104" s="125"/>
      <c r="M104" s="125"/>
      <c r="N104" s="125"/>
      <c r="O104" s="125"/>
      <c r="P104" s="123">
        <f t="shared" si="3"/>
        <v>0</v>
      </c>
    </row>
    <row r="105" spans="1:16" ht="21.75" customHeight="1">
      <c r="A105" s="249"/>
      <c r="B105" s="182"/>
      <c r="C105" s="249"/>
      <c r="D105" s="182"/>
      <c r="E105" s="265"/>
      <c r="F105" s="182"/>
      <c r="G105" s="28"/>
      <c r="H105" s="124"/>
      <c r="I105" s="91"/>
      <c r="J105" s="123">
        <f t="shared" si="2"/>
        <v>0</v>
      </c>
      <c r="K105" s="125"/>
      <c r="L105" s="125"/>
      <c r="M105" s="125"/>
      <c r="N105" s="125"/>
      <c r="O105" s="125"/>
      <c r="P105" s="123">
        <f t="shared" si="3"/>
        <v>0</v>
      </c>
    </row>
    <row r="106" spans="1:16" ht="19.5" customHeight="1">
      <c r="A106" s="249"/>
      <c r="B106" s="182"/>
      <c r="C106" s="249"/>
      <c r="D106" s="182"/>
      <c r="E106" s="265"/>
      <c r="F106" s="182"/>
      <c r="G106" s="28"/>
      <c r="H106" s="124"/>
      <c r="I106" s="91"/>
      <c r="J106" s="123">
        <f t="shared" si="2"/>
        <v>0</v>
      </c>
      <c r="K106" s="125"/>
      <c r="L106" s="125"/>
      <c r="M106" s="125"/>
      <c r="N106" s="125"/>
      <c r="O106" s="125"/>
      <c r="P106" s="123">
        <f t="shared" si="3"/>
        <v>0</v>
      </c>
    </row>
    <row r="107" spans="1:16" ht="19.5" customHeight="1">
      <c r="A107" s="249"/>
      <c r="B107" s="182"/>
      <c r="C107" s="249"/>
      <c r="D107" s="182"/>
      <c r="E107" s="265"/>
      <c r="F107" s="182"/>
      <c r="G107" s="28"/>
      <c r="H107" s="124"/>
      <c r="I107" s="91"/>
      <c r="J107" s="123">
        <f t="shared" si="2"/>
        <v>0</v>
      </c>
      <c r="K107" s="125"/>
      <c r="L107" s="125"/>
      <c r="M107" s="125"/>
      <c r="N107" s="125"/>
      <c r="O107" s="125"/>
      <c r="P107" s="123">
        <f t="shared" si="3"/>
        <v>0</v>
      </c>
    </row>
    <row r="108" spans="1:16" ht="19.5" customHeight="1">
      <c r="A108" s="249"/>
      <c r="B108" s="182"/>
      <c r="C108" s="249"/>
      <c r="D108" s="182"/>
      <c r="E108" s="265"/>
      <c r="F108" s="182"/>
      <c r="G108" s="28"/>
      <c r="H108" s="124"/>
      <c r="I108" s="91"/>
      <c r="J108" s="123">
        <f t="shared" si="2"/>
        <v>0</v>
      </c>
      <c r="K108" s="125"/>
      <c r="L108" s="125"/>
      <c r="M108" s="125"/>
      <c r="N108" s="125"/>
      <c r="O108" s="125"/>
      <c r="P108" s="123">
        <f t="shared" si="3"/>
        <v>0</v>
      </c>
    </row>
    <row r="109" spans="1:16" ht="19.5" customHeight="1">
      <c r="A109" s="249"/>
      <c r="B109" s="182"/>
      <c r="C109" s="249"/>
      <c r="D109" s="182"/>
      <c r="E109" s="265"/>
      <c r="F109" s="182"/>
      <c r="G109" s="28"/>
      <c r="H109" s="124"/>
      <c r="I109" s="91"/>
      <c r="J109" s="123">
        <f t="shared" si="2"/>
        <v>0</v>
      </c>
      <c r="K109" s="125"/>
      <c r="L109" s="125"/>
      <c r="M109" s="125"/>
      <c r="N109" s="125"/>
      <c r="O109" s="125"/>
      <c r="P109" s="123">
        <f t="shared" si="3"/>
        <v>0</v>
      </c>
    </row>
    <row r="110" spans="1:16" ht="19.5" customHeight="1">
      <c r="A110" s="249"/>
      <c r="B110" s="182"/>
      <c r="C110" s="249"/>
      <c r="D110" s="182"/>
      <c r="E110" s="265"/>
      <c r="F110" s="182"/>
      <c r="G110" s="28"/>
      <c r="H110" s="124"/>
      <c r="I110" s="91"/>
      <c r="J110" s="123">
        <f t="shared" si="2"/>
        <v>0</v>
      </c>
      <c r="K110" s="125"/>
      <c r="L110" s="125"/>
      <c r="M110" s="125"/>
      <c r="N110" s="125"/>
      <c r="O110" s="125"/>
      <c r="P110" s="123">
        <f t="shared" si="3"/>
        <v>0</v>
      </c>
    </row>
    <row r="111" spans="1:16" ht="19.5" customHeight="1">
      <c r="A111" s="249"/>
      <c r="B111" s="182"/>
      <c r="C111" s="249"/>
      <c r="D111" s="182"/>
      <c r="E111" s="265"/>
      <c r="F111" s="182"/>
      <c r="G111" s="28"/>
      <c r="H111" s="124"/>
      <c r="I111" s="91"/>
      <c r="J111" s="123">
        <f t="shared" si="2"/>
        <v>0</v>
      </c>
      <c r="K111" s="125"/>
      <c r="L111" s="125"/>
      <c r="M111" s="125"/>
      <c r="N111" s="125"/>
      <c r="O111" s="125"/>
      <c r="P111" s="123">
        <f t="shared" si="3"/>
        <v>0</v>
      </c>
    </row>
    <row r="112" spans="1:16" ht="19.5" customHeight="1">
      <c r="A112" s="249"/>
      <c r="B112" s="182"/>
      <c r="C112" s="249"/>
      <c r="D112" s="182"/>
      <c r="E112" s="265"/>
      <c r="F112" s="182"/>
      <c r="G112" s="28"/>
      <c r="H112" s="124"/>
      <c r="I112" s="91"/>
      <c r="J112" s="123">
        <f t="shared" si="2"/>
        <v>0</v>
      </c>
      <c r="K112" s="125"/>
      <c r="L112" s="125"/>
      <c r="M112" s="125"/>
      <c r="N112" s="125"/>
      <c r="O112" s="125"/>
      <c r="P112" s="123">
        <f t="shared" si="3"/>
        <v>0</v>
      </c>
    </row>
    <row r="113" spans="1:16" ht="19.5" customHeight="1">
      <c r="A113" s="285" t="s">
        <v>215</v>
      </c>
      <c r="B113" s="181"/>
      <c r="C113" s="181"/>
      <c r="D113" s="181"/>
      <c r="E113" s="181"/>
      <c r="F113" s="181"/>
      <c r="G113" s="181"/>
      <c r="H113" s="181"/>
      <c r="I113" s="182"/>
      <c r="J113" s="126">
        <f t="shared" ref="J113:O113" si="4">SUM(J91:J112)</f>
        <v>0</v>
      </c>
      <c r="K113" s="123">
        <f t="shared" si="4"/>
        <v>0</v>
      </c>
      <c r="L113" s="123">
        <f t="shared" si="4"/>
        <v>0</v>
      </c>
      <c r="M113" s="123">
        <f t="shared" si="4"/>
        <v>0</v>
      </c>
      <c r="N113" s="123">
        <f t="shared" si="4"/>
        <v>0</v>
      </c>
      <c r="O113" s="123">
        <f t="shared" si="4"/>
        <v>0</v>
      </c>
      <c r="P113" s="123">
        <f t="shared" si="3"/>
        <v>0</v>
      </c>
    </row>
  </sheetData>
  <mergeCells count="410">
    <mergeCell ref="A112:B112"/>
    <mergeCell ref="G46:H46"/>
    <mergeCell ref="B50:C50"/>
    <mergeCell ref="M77:P77"/>
    <mergeCell ref="O37:P37"/>
    <mergeCell ref="A17:B17"/>
    <mergeCell ref="L48:N48"/>
    <mergeCell ref="A109:B109"/>
    <mergeCell ref="B64:C64"/>
    <mergeCell ref="M74:P74"/>
    <mergeCell ref="B51:C51"/>
    <mergeCell ref="A111:B111"/>
    <mergeCell ref="G75:H75"/>
    <mergeCell ref="C111:D111"/>
    <mergeCell ref="C26:H26"/>
    <mergeCell ref="C18:P18"/>
    <mergeCell ref="G70:H70"/>
    <mergeCell ref="A113:I113"/>
    <mergeCell ref="L54:N54"/>
    <mergeCell ref="E103:F103"/>
    <mergeCell ref="G37:H37"/>
    <mergeCell ref="M68:P68"/>
    <mergeCell ref="M67:P67"/>
    <mergeCell ref="A12:B12"/>
    <mergeCell ref="A104:B104"/>
    <mergeCell ref="M69:P69"/>
    <mergeCell ref="A14:B14"/>
    <mergeCell ref="A106:B106"/>
    <mergeCell ref="C106:D106"/>
    <mergeCell ref="K65:L65"/>
    <mergeCell ref="G63:H63"/>
    <mergeCell ref="I63:J63"/>
    <mergeCell ref="G50:H50"/>
    <mergeCell ref="M81:P81"/>
    <mergeCell ref="E96:F96"/>
    <mergeCell ref="B75:C75"/>
    <mergeCell ref="C101:D101"/>
    <mergeCell ref="B62:C62"/>
    <mergeCell ref="G52:H52"/>
    <mergeCell ref="E98:F98"/>
    <mergeCell ref="M76:P76"/>
    <mergeCell ref="O39:P39"/>
    <mergeCell ref="O36:P36"/>
    <mergeCell ref="G39:H39"/>
    <mergeCell ref="B43:C43"/>
    <mergeCell ref="E44:F44"/>
    <mergeCell ref="K60:L60"/>
    <mergeCell ref="M63:P63"/>
    <mergeCell ref="K7:L7"/>
    <mergeCell ref="B39:C39"/>
    <mergeCell ref="A33:C33"/>
    <mergeCell ref="A13:P13"/>
    <mergeCell ref="O49:P49"/>
    <mergeCell ref="L44:N44"/>
    <mergeCell ref="O50:P50"/>
    <mergeCell ref="E45:F45"/>
    <mergeCell ref="O42:P42"/>
    <mergeCell ref="O52:P52"/>
    <mergeCell ref="G55:H55"/>
    <mergeCell ref="A20:B20"/>
    <mergeCell ref="C17:P17"/>
    <mergeCell ref="G47:H47"/>
    <mergeCell ref="I82:J82"/>
    <mergeCell ref="C91:D91"/>
    <mergeCell ref="K6:L6"/>
    <mergeCell ref="E50:F50"/>
    <mergeCell ref="B54:C54"/>
    <mergeCell ref="K83:L83"/>
    <mergeCell ref="M6:N7"/>
    <mergeCell ref="G42:H42"/>
    <mergeCell ref="E52:F52"/>
    <mergeCell ref="E39:F39"/>
    <mergeCell ref="B70:C70"/>
    <mergeCell ref="B65:C65"/>
    <mergeCell ref="E36:F36"/>
    <mergeCell ref="A22:B22"/>
    <mergeCell ref="A9:B9"/>
    <mergeCell ref="B41:C41"/>
    <mergeCell ref="K69:L69"/>
    <mergeCell ref="B35:C35"/>
    <mergeCell ref="E2:H2"/>
    <mergeCell ref="E102:F102"/>
    <mergeCell ref="G77:H77"/>
    <mergeCell ref="I6:J6"/>
    <mergeCell ref="I77:J77"/>
    <mergeCell ref="B66:C66"/>
    <mergeCell ref="I27:P27"/>
    <mergeCell ref="K64:L64"/>
    <mergeCell ref="I72:J72"/>
    <mergeCell ref="K72:L72"/>
    <mergeCell ref="G49:H49"/>
    <mergeCell ref="E32:P32"/>
    <mergeCell ref="M79:P79"/>
    <mergeCell ref="M73:P73"/>
    <mergeCell ref="M60:P60"/>
    <mergeCell ref="G88:H88"/>
    <mergeCell ref="I88:J88"/>
    <mergeCell ref="A91:B91"/>
    <mergeCell ref="E106:F106"/>
    <mergeCell ref="C104:D104"/>
    <mergeCell ref="G5:H5"/>
    <mergeCell ref="I67:J67"/>
    <mergeCell ref="I5:J5"/>
    <mergeCell ref="K61:L61"/>
    <mergeCell ref="A97:B97"/>
    <mergeCell ref="A56:P56"/>
    <mergeCell ref="K62:L62"/>
    <mergeCell ref="O6:O7"/>
    <mergeCell ref="G81:H81"/>
    <mergeCell ref="I81:J81"/>
    <mergeCell ref="O53:P53"/>
    <mergeCell ref="B86:C86"/>
    <mergeCell ref="M71:P71"/>
    <mergeCell ref="I76:J76"/>
    <mergeCell ref="A90:B90"/>
    <mergeCell ref="K76:L76"/>
    <mergeCell ref="C20:P22"/>
    <mergeCell ref="C14:P16"/>
    <mergeCell ref="A11:P11"/>
    <mergeCell ref="B38:C38"/>
    <mergeCell ref="K67:L67"/>
    <mergeCell ref="E49:F49"/>
    <mergeCell ref="I3:J3"/>
    <mergeCell ref="K59:L59"/>
    <mergeCell ref="I2:J2"/>
    <mergeCell ref="C24:P24"/>
    <mergeCell ref="K9:L9"/>
    <mergeCell ref="A94:B94"/>
    <mergeCell ref="C112:D112"/>
    <mergeCell ref="C27:H27"/>
    <mergeCell ref="A40:P40"/>
    <mergeCell ref="B42:C42"/>
    <mergeCell ref="B88:C88"/>
    <mergeCell ref="G78:H78"/>
    <mergeCell ref="B82:C82"/>
    <mergeCell ref="B44:C44"/>
    <mergeCell ref="G80:H80"/>
    <mergeCell ref="K71:L71"/>
    <mergeCell ref="G79:H79"/>
    <mergeCell ref="B83:C83"/>
    <mergeCell ref="G73:H73"/>
    <mergeCell ref="I79:J79"/>
    <mergeCell ref="I73:J73"/>
    <mergeCell ref="M31:P31"/>
    <mergeCell ref="K73:L73"/>
    <mergeCell ref="B85:C85"/>
    <mergeCell ref="E53:F53"/>
    <mergeCell ref="G59:H59"/>
    <mergeCell ref="E3:H3"/>
    <mergeCell ref="G7:H7"/>
    <mergeCell ref="I7:J7"/>
    <mergeCell ref="K63:L63"/>
    <mergeCell ref="O44:P44"/>
    <mergeCell ref="L49:N49"/>
    <mergeCell ref="C90:D90"/>
    <mergeCell ref="E90:F90"/>
    <mergeCell ref="L36:N36"/>
    <mergeCell ref="O8:O9"/>
    <mergeCell ref="G65:H65"/>
    <mergeCell ref="G60:H60"/>
    <mergeCell ref="I60:J60"/>
    <mergeCell ref="B72:C72"/>
    <mergeCell ref="E33:F33"/>
    <mergeCell ref="L39:N39"/>
    <mergeCell ref="G8:H8"/>
    <mergeCell ref="A6:B6"/>
    <mergeCell ref="E35:F35"/>
    <mergeCell ref="P8:P9"/>
    <mergeCell ref="G53:H53"/>
    <mergeCell ref="G74:H74"/>
    <mergeCell ref="K86:L86"/>
    <mergeCell ref="G45:H45"/>
    <mergeCell ref="I70:J70"/>
    <mergeCell ref="L41:N41"/>
    <mergeCell ref="A92:B92"/>
    <mergeCell ref="C108:D108"/>
    <mergeCell ref="C99:D99"/>
    <mergeCell ref="I68:J68"/>
    <mergeCell ref="A95:B95"/>
    <mergeCell ref="C105:D105"/>
    <mergeCell ref="E105:F105"/>
    <mergeCell ref="E99:F99"/>
    <mergeCell ref="E101:F101"/>
    <mergeCell ref="E100:F100"/>
    <mergeCell ref="E55:F55"/>
    <mergeCell ref="A103:B103"/>
    <mergeCell ref="G67:H67"/>
    <mergeCell ref="G61:H61"/>
    <mergeCell ref="C97:D97"/>
    <mergeCell ref="E48:F48"/>
    <mergeCell ref="I61:J61"/>
    <mergeCell ref="A107:B107"/>
    <mergeCell ref="C107:D107"/>
    <mergeCell ref="L47:N47"/>
    <mergeCell ref="E112:F112"/>
    <mergeCell ref="O38:P38"/>
    <mergeCell ref="G41:H41"/>
    <mergeCell ref="B45:C45"/>
    <mergeCell ref="E43:F43"/>
    <mergeCell ref="G43:H43"/>
    <mergeCell ref="B47:C47"/>
    <mergeCell ref="B59:C59"/>
    <mergeCell ref="B46:C46"/>
    <mergeCell ref="L45:N45"/>
    <mergeCell ref="A110:B110"/>
    <mergeCell ref="L38:N38"/>
    <mergeCell ref="B48:C48"/>
    <mergeCell ref="C103:D103"/>
    <mergeCell ref="A108:B108"/>
    <mergeCell ref="B73:C73"/>
    <mergeCell ref="K77:L77"/>
    <mergeCell ref="B74:C74"/>
    <mergeCell ref="E57:L57"/>
    <mergeCell ref="B68:C68"/>
    <mergeCell ref="M84:P84"/>
    <mergeCell ref="C96:D96"/>
    <mergeCell ref="M86:P86"/>
    <mergeCell ref="K87:L87"/>
    <mergeCell ref="A2:B3"/>
    <mergeCell ref="A23:P23"/>
    <mergeCell ref="K5:L5"/>
    <mergeCell ref="M5:N5"/>
    <mergeCell ref="B71:C71"/>
    <mergeCell ref="B52:C52"/>
    <mergeCell ref="I26:P26"/>
    <mergeCell ref="E107:F107"/>
    <mergeCell ref="M83:P83"/>
    <mergeCell ref="B60:C60"/>
    <mergeCell ref="C25:P25"/>
    <mergeCell ref="A21:B21"/>
    <mergeCell ref="E46:F46"/>
    <mergeCell ref="K8:L8"/>
    <mergeCell ref="A5:B5"/>
    <mergeCell ref="K3:P3"/>
    <mergeCell ref="M78:P78"/>
    <mergeCell ref="O47:P47"/>
    <mergeCell ref="A96:B96"/>
    <mergeCell ref="E54:F54"/>
    <mergeCell ref="G54:H54"/>
    <mergeCell ref="E41:F41"/>
    <mergeCell ref="O33:P33"/>
    <mergeCell ref="G36:H36"/>
    <mergeCell ref="K2:P2"/>
    <mergeCell ref="C109:D109"/>
    <mergeCell ref="E38:F38"/>
    <mergeCell ref="G31:J31"/>
    <mergeCell ref="G38:H38"/>
    <mergeCell ref="A32:C32"/>
    <mergeCell ref="M87:P87"/>
    <mergeCell ref="A105:B105"/>
    <mergeCell ref="C12:P12"/>
    <mergeCell ref="G33:H33"/>
    <mergeCell ref="B37:C37"/>
    <mergeCell ref="M64:P64"/>
    <mergeCell ref="E104:F104"/>
    <mergeCell ref="I8:J8"/>
    <mergeCell ref="A8:B8"/>
    <mergeCell ref="G35:H35"/>
    <mergeCell ref="A100:B100"/>
    <mergeCell ref="I29:P29"/>
    <mergeCell ref="M65:P65"/>
    <mergeCell ref="A10:B10"/>
    <mergeCell ref="L37:N37"/>
    <mergeCell ref="A57:C58"/>
    <mergeCell ref="K66:L66"/>
    <mergeCell ref="A102:B102"/>
    <mergeCell ref="E111:F111"/>
    <mergeCell ref="B77:C77"/>
    <mergeCell ref="A7:B7"/>
    <mergeCell ref="A99:B99"/>
    <mergeCell ref="I71:J71"/>
    <mergeCell ref="I28:P28"/>
    <mergeCell ref="I58:J58"/>
    <mergeCell ref="K58:L58"/>
    <mergeCell ref="A101:B101"/>
    <mergeCell ref="I83:J83"/>
    <mergeCell ref="B49:C49"/>
    <mergeCell ref="E91:F91"/>
    <mergeCell ref="A89:P89"/>
    <mergeCell ref="G85:H85"/>
    <mergeCell ref="G84:H84"/>
    <mergeCell ref="B63:C63"/>
    <mergeCell ref="E93:F93"/>
    <mergeCell ref="I84:J84"/>
    <mergeCell ref="K78:L78"/>
    <mergeCell ref="G86:H86"/>
    <mergeCell ref="L35:N35"/>
    <mergeCell ref="K88:L88"/>
    <mergeCell ref="A19:P19"/>
    <mergeCell ref="E51:F51"/>
    <mergeCell ref="A16:B16"/>
    <mergeCell ref="A18:B18"/>
    <mergeCell ref="M80:P80"/>
    <mergeCell ref="L33:N33"/>
    <mergeCell ref="P6:P7"/>
    <mergeCell ref="E109:F109"/>
    <mergeCell ref="E47:F47"/>
    <mergeCell ref="G72:H72"/>
    <mergeCell ref="M61:P61"/>
    <mergeCell ref="B67:C67"/>
    <mergeCell ref="O54:P54"/>
    <mergeCell ref="B61:C61"/>
    <mergeCell ref="C93:D93"/>
    <mergeCell ref="O41:P41"/>
    <mergeCell ref="O35:P35"/>
    <mergeCell ref="B69:C69"/>
    <mergeCell ref="L46:N46"/>
    <mergeCell ref="O43:P43"/>
    <mergeCell ref="M70:P70"/>
    <mergeCell ref="G58:H58"/>
    <mergeCell ref="G44:H44"/>
    <mergeCell ref="I69:J69"/>
    <mergeCell ref="K82:L82"/>
    <mergeCell ref="A93:B93"/>
    <mergeCell ref="C110:D110"/>
    <mergeCell ref="E110:F110"/>
    <mergeCell ref="G76:H76"/>
    <mergeCell ref="B80:C80"/>
    <mergeCell ref="I59:J59"/>
    <mergeCell ref="B79:C79"/>
    <mergeCell ref="G9:H9"/>
    <mergeCell ref="I9:J9"/>
    <mergeCell ref="B81:C81"/>
    <mergeCell ref="E92:F92"/>
    <mergeCell ref="C100:D100"/>
    <mergeCell ref="C94:D94"/>
    <mergeCell ref="E94:F94"/>
    <mergeCell ref="C10:P10"/>
    <mergeCell ref="K31:L31"/>
    <mergeCell ref="G69:H69"/>
    <mergeCell ref="E31:F31"/>
    <mergeCell ref="G87:H87"/>
    <mergeCell ref="I87:J87"/>
    <mergeCell ref="E108:F108"/>
    <mergeCell ref="I62:J62"/>
    <mergeCell ref="C95:D95"/>
    <mergeCell ref="O46:P46"/>
    <mergeCell ref="E95:F95"/>
    <mergeCell ref="A1:P1"/>
    <mergeCell ref="A31:C31"/>
    <mergeCell ref="O51:P51"/>
    <mergeCell ref="B84:C84"/>
    <mergeCell ref="A4:P4"/>
    <mergeCell ref="L55:N55"/>
    <mergeCell ref="G64:H64"/>
    <mergeCell ref="I64:J64"/>
    <mergeCell ref="O48:P48"/>
    <mergeCell ref="G51:H51"/>
    <mergeCell ref="M75:P75"/>
    <mergeCell ref="B76:C76"/>
    <mergeCell ref="L53:N53"/>
    <mergeCell ref="C29:H29"/>
    <mergeCell ref="I65:J65"/>
    <mergeCell ref="E42:F42"/>
    <mergeCell ref="M8:N9"/>
    <mergeCell ref="G82:H82"/>
    <mergeCell ref="M66:P66"/>
    <mergeCell ref="G6:H6"/>
    <mergeCell ref="K75:L75"/>
    <mergeCell ref="G83:H83"/>
    <mergeCell ref="K70:L70"/>
    <mergeCell ref="I78:J78"/>
    <mergeCell ref="A15:B15"/>
    <mergeCell ref="L42:N42"/>
    <mergeCell ref="G71:H71"/>
    <mergeCell ref="M72:P72"/>
    <mergeCell ref="K81:L81"/>
    <mergeCell ref="M59:P59"/>
    <mergeCell ref="G66:H66"/>
    <mergeCell ref="I66:J66"/>
    <mergeCell ref="A30:P30"/>
    <mergeCell ref="B78:C78"/>
    <mergeCell ref="G68:H68"/>
    <mergeCell ref="O55:P55"/>
    <mergeCell ref="M57:P58"/>
    <mergeCell ref="B55:C55"/>
    <mergeCell ref="A24:B29"/>
    <mergeCell ref="A34:P34"/>
    <mergeCell ref="G62:H62"/>
    <mergeCell ref="B53:C53"/>
    <mergeCell ref="L52:N52"/>
    <mergeCell ref="C28:H28"/>
    <mergeCell ref="B36:C36"/>
    <mergeCell ref="E37:F37"/>
    <mergeCell ref="L43:N43"/>
    <mergeCell ref="I80:J80"/>
    <mergeCell ref="M85:P85"/>
    <mergeCell ref="C92:D92"/>
    <mergeCell ref="O45:P45"/>
    <mergeCell ref="G48:H48"/>
    <mergeCell ref="L50:N50"/>
    <mergeCell ref="I75:J75"/>
    <mergeCell ref="C102:D102"/>
    <mergeCell ref="A98:B98"/>
    <mergeCell ref="C98:D98"/>
    <mergeCell ref="M88:P88"/>
    <mergeCell ref="M82:P82"/>
    <mergeCell ref="B87:C87"/>
    <mergeCell ref="E97:F97"/>
    <mergeCell ref="I86:J86"/>
    <mergeCell ref="K80:L80"/>
    <mergeCell ref="M62:P62"/>
    <mergeCell ref="L51:N51"/>
    <mergeCell ref="K79:L79"/>
    <mergeCell ref="I74:J74"/>
    <mergeCell ref="K74:L74"/>
    <mergeCell ref="K68:L68"/>
    <mergeCell ref="I85:J85"/>
    <mergeCell ref="K85:L85"/>
    <mergeCell ref="K84:L84"/>
  </mergeCells>
  <phoneticPr fontId="39" type="noConversion"/>
  <conditionalFormatting sqref="P91:P112">
    <cfRule type="cellIs" dxfId="7" priority="2" operator="notEqual">
      <formula>$J91</formula>
    </cfRule>
  </conditionalFormatting>
  <dataValidations count="8">
    <dataValidation type="list" allowBlank="1" showInputMessage="1" showErrorMessage="1" sqref="E24:O25" xr:uid="{00000000-0002-0000-0400-000000000000}">
      <formula1>"O,X"</formula1>
      <formula2>0</formula2>
    </dataValidation>
    <dataValidation type="list" allowBlank="1" showInputMessage="1" showErrorMessage="1" sqref="E31:G31" xr:uid="{00000000-0002-0000-0400-000001000000}">
      <formula1>"Gender,Disaster risk management ,Others"</formula1>
      <formula2>0</formula2>
    </dataValidation>
    <dataValidation type="list" allowBlank="1" showInputMessage="1" showErrorMessage="1" sqref="A91:B112" xr:uid="{00000000-0002-0000-0400-000002000000}">
      <formula1>Education_Output</formula1>
      <formula2>0</formula2>
    </dataValidation>
    <dataValidation type="list" allowBlank="1" showInputMessage="1" showErrorMessage="1" sqref="C91:D112" xr:uid="{00000000-0002-0000-0400-000003000000}">
      <formula1>Education_Activity</formula1>
      <formula2>0</formula2>
    </dataValidation>
    <dataValidation type="list" allowBlank="1" showInputMessage="1" sqref="F36:F37" xr:uid="{00000000-0002-0000-0400-000004000000}">
      <formula1>education_outcome_indicator</formula1>
      <formula2>0</formula2>
    </dataValidation>
    <dataValidation type="list" allowBlank="1" showInputMessage="1" sqref="F41:F49" xr:uid="{00000000-0002-0000-0400-000005000000}">
      <formula1>education_output_indicator</formula1>
      <formula2>0</formula2>
    </dataValidation>
    <dataValidation type="list" allowBlank="1" showInputMessage="1" showErrorMessage="1" sqref="E35:E39" xr:uid="{00000000-0002-0000-0400-000006000000}">
      <formula1>education_outcome_indicator</formula1>
      <formula2>0</formula2>
    </dataValidation>
    <dataValidation type="list" allowBlank="1" showInputMessage="1" showErrorMessage="1" sqref="E41:E55" xr:uid="{00000000-0002-0000-0400-000007000000}">
      <formula1>education_output_indicator</formula1>
      <formula2>0</formula2>
    </dataValidation>
  </dataValidations>
  <pageMargins left="0.7" right="0.7" top="0.75" bottom="0.75" header="0.511811023622047" footer="0.511811023622047"/>
  <pageSetup paperSize="9" scale="36" orientation="portrait" horizontalDpi="300" verticalDpi="300" r:id="rId1"/>
  <rowBreaks count="1" manualBreakCount="1">
    <brk id="22"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11"/>
  <sheetViews>
    <sheetView view="pageBreakPreview" zoomScale="70" zoomScaleNormal="100" zoomScaleSheetLayoutView="70" zoomScalePageLayoutView="80" workbookViewId="0">
      <selection activeCell="C7" sqref="C7"/>
    </sheetView>
  </sheetViews>
  <sheetFormatPr defaultColWidth="8.69921875" defaultRowHeight="13.8" outlineLevelRow="1"/>
  <cols>
    <col min="1" max="1" width="6.69921875" style="23" customWidth="1"/>
    <col min="2" max="2" width="25.69921875" style="23" customWidth="1"/>
    <col min="3" max="3" width="36.19921875" style="71" customWidth="1"/>
    <col min="4" max="4" width="11.296875" style="71" hidden="1" customWidth="1"/>
    <col min="5" max="6" width="25.69921875" style="71" customWidth="1"/>
    <col min="7" max="16" width="13.19921875" style="71" customWidth="1"/>
    <col min="17" max="18" width="8.69921875" style="71" customWidth="1"/>
    <col min="19" max="16384" width="8.69921875" style="71"/>
  </cols>
  <sheetData>
    <row r="1" spans="1:16" ht="19.5" customHeight="1">
      <c r="A1" s="229" t="s">
        <v>216</v>
      </c>
      <c r="B1" s="178"/>
      <c r="C1" s="178"/>
      <c r="D1" s="178"/>
      <c r="E1" s="178"/>
      <c r="F1" s="178"/>
      <c r="G1" s="178"/>
      <c r="H1" s="178"/>
      <c r="I1" s="178"/>
      <c r="J1" s="178"/>
      <c r="K1" s="178"/>
      <c r="L1" s="178"/>
      <c r="M1" s="178"/>
      <c r="N1" s="178"/>
      <c r="O1" s="178"/>
      <c r="P1" s="179"/>
    </row>
    <row r="2" spans="1:16" ht="19.5" customHeight="1" outlineLevel="1">
      <c r="A2" s="260" t="s">
        <v>74</v>
      </c>
      <c r="B2" s="256"/>
      <c r="C2" s="24" t="s">
        <v>75</v>
      </c>
      <c r="D2" s="24"/>
      <c r="E2" s="278"/>
      <c r="F2" s="181"/>
      <c r="G2" s="181"/>
      <c r="H2" s="182"/>
      <c r="I2" s="251" t="s">
        <v>76</v>
      </c>
      <c r="J2" s="182"/>
      <c r="K2" s="272"/>
      <c r="L2" s="181"/>
      <c r="M2" s="181"/>
      <c r="N2" s="181"/>
      <c r="O2" s="181"/>
      <c r="P2" s="182"/>
    </row>
    <row r="3" spans="1:16" ht="19.5" customHeight="1" outlineLevel="1">
      <c r="A3" s="257"/>
      <c r="B3" s="259"/>
      <c r="C3" s="24" t="s">
        <v>77</v>
      </c>
      <c r="D3" s="24"/>
      <c r="E3" s="278"/>
      <c r="F3" s="181"/>
      <c r="G3" s="181"/>
      <c r="H3" s="182"/>
      <c r="I3" s="251" t="s">
        <v>78</v>
      </c>
      <c r="J3" s="182"/>
      <c r="K3" s="272"/>
      <c r="L3" s="181"/>
      <c r="M3" s="181"/>
      <c r="N3" s="181"/>
      <c r="O3" s="181"/>
      <c r="P3" s="182"/>
    </row>
    <row r="4" spans="1:16" ht="19.5" customHeight="1" outlineLevel="1">
      <c r="A4" s="253" t="s">
        <v>79</v>
      </c>
      <c r="B4" s="181"/>
      <c r="C4" s="181"/>
      <c r="D4" s="181"/>
      <c r="E4" s="181"/>
      <c r="F4" s="181"/>
      <c r="G4" s="181"/>
      <c r="H4" s="181"/>
      <c r="I4" s="181"/>
      <c r="J4" s="181"/>
      <c r="K4" s="181"/>
      <c r="L4" s="181"/>
      <c r="M4" s="181"/>
      <c r="N4" s="181"/>
      <c r="O4" s="181"/>
      <c r="P4" s="182"/>
    </row>
    <row r="5" spans="1:16" ht="19.5" customHeight="1" outlineLevel="1">
      <c r="A5" s="291" t="s">
        <v>217</v>
      </c>
      <c r="B5" s="181"/>
      <c r="C5" s="181"/>
      <c r="D5" s="181"/>
      <c r="E5" s="181"/>
      <c r="F5" s="181"/>
      <c r="G5" s="181"/>
      <c r="H5" s="181"/>
      <c r="I5" s="181"/>
      <c r="J5" s="181"/>
      <c r="K5" s="292" t="s">
        <v>218</v>
      </c>
      <c r="L5" s="181"/>
      <c r="M5" s="181"/>
      <c r="N5" s="181"/>
      <c r="O5" s="286" t="s">
        <v>88</v>
      </c>
      <c r="P5" s="255"/>
    </row>
    <row r="6" spans="1:16" ht="32.25" customHeight="1" outlineLevel="1">
      <c r="A6" s="290" t="s">
        <v>219</v>
      </c>
      <c r="B6" s="182"/>
      <c r="C6" s="289" t="s">
        <v>220</v>
      </c>
      <c r="D6" s="182"/>
      <c r="E6" s="127" t="s">
        <v>221</v>
      </c>
      <c r="F6" s="127" t="s">
        <v>222</v>
      </c>
      <c r="G6" s="289" t="s">
        <v>223</v>
      </c>
      <c r="H6" s="182"/>
      <c r="I6" s="289" t="s">
        <v>224</v>
      </c>
      <c r="J6" s="182"/>
      <c r="K6" s="289" t="s">
        <v>225</v>
      </c>
      <c r="L6" s="182"/>
      <c r="M6" s="289" t="s">
        <v>226</v>
      </c>
      <c r="N6" s="182"/>
      <c r="O6" s="258"/>
      <c r="P6" s="258"/>
    </row>
    <row r="7" spans="1:16" ht="31.5" customHeight="1" outlineLevel="1">
      <c r="A7" s="288"/>
      <c r="B7" s="182"/>
      <c r="C7" s="99"/>
      <c r="D7" s="98"/>
      <c r="E7" s="99"/>
      <c r="F7" s="98"/>
      <c r="G7" s="287"/>
      <c r="H7" s="182"/>
      <c r="I7" s="287"/>
      <c r="J7" s="182"/>
      <c r="K7" s="287"/>
      <c r="L7" s="182"/>
      <c r="M7" s="287"/>
      <c r="N7" s="182"/>
      <c r="O7" s="287"/>
      <c r="P7" s="182"/>
    </row>
    <row r="8" spans="1:16" ht="58.2" customHeight="1" outlineLevel="1">
      <c r="A8" s="233" t="s">
        <v>89</v>
      </c>
      <c r="B8" s="179"/>
      <c r="C8" s="236" t="s">
        <v>90</v>
      </c>
      <c r="D8" s="178"/>
      <c r="E8" s="178"/>
      <c r="F8" s="178"/>
      <c r="G8" s="178"/>
      <c r="H8" s="178"/>
      <c r="I8" s="178"/>
      <c r="J8" s="178"/>
      <c r="K8" s="178"/>
      <c r="L8" s="178"/>
      <c r="M8" s="178"/>
      <c r="N8" s="178"/>
      <c r="O8" s="178"/>
      <c r="P8" s="179"/>
    </row>
    <row r="9" spans="1:16" ht="19.5" customHeight="1" outlineLevel="1">
      <c r="A9" s="253" t="s">
        <v>91</v>
      </c>
      <c r="B9" s="181"/>
      <c r="C9" s="181"/>
      <c r="D9" s="181"/>
      <c r="E9" s="181"/>
      <c r="F9" s="181"/>
      <c r="G9" s="181"/>
      <c r="H9" s="181"/>
      <c r="I9" s="181"/>
      <c r="J9" s="181"/>
      <c r="K9" s="181"/>
      <c r="L9" s="181"/>
      <c r="M9" s="181"/>
      <c r="N9" s="181"/>
      <c r="O9" s="181"/>
      <c r="P9" s="182"/>
    </row>
    <row r="10" spans="1:16" ht="121.5" customHeight="1" outlineLevel="1">
      <c r="A10" s="260" t="s">
        <v>227</v>
      </c>
      <c r="B10" s="182"/>
      <c r="C10" s="273" t="s">
        <v>228</v>
      </c>
      <c r="D10" s="181"/>
      <c r="E10" s="181"/>
      <c r="F10" s="181"/>
      <c r="G10" s="181"/>
      <c r="H10" s="181"/>
      <c r="I10" s="181"/>
      <c r="J10" s="181"/>
      <c r="K10" s="181"/>
      <c r="L10" s="181"/>
      <c r="M10" s="181"/>
      <c r="N10" s="181"/>
      <c r="O10" s="181"/>
      <c r="P10" s="182"/>
    </row>
    <row r="11" spans="1:16" ht="19.5" customHeight="1" outlineLevel="1">
      <c r="A11" s="276" t="s">
        <v>94</v>
      </c>
      <c r="B11" s="181"/>
      <c r="C11" s="181"/>
      <c r="D11" s="181"/>
      <c r="E11" s="181"/>
      <c r="F11" s="181"/>
      <c r="G11" s="181"/>
      <c r="H11" s="181"/>
      <c r="I11" s="181"/>
      <c r="J11" s="181"/>
      <c r="K11" s="181"/>
      <c r="L11" s="181"/>
      <c r="M11" s="181"/>
      <c r="N11" s="181"/>
      <c r="O11" s="181"/>
      <c r="P11" s="182"/>
    </row>
    <row r="12" spans="1:16" ht="126.75" customHeight="1" outlineLevel="1">
      <c r="A12" s="251" t="s">
        <v>95</v>
      </c>
      <c r="B12" s="182"/>
      <c r="C12" s="282" t="s">
        <v>96</v>
      </c>
      <c r="D12" s="255"/>
      <c r="E12" s="255"/>
      <c r="F12" s="255"/>
      <c r="G12" s="255"/>
      <c r="H12" s="255"/>
      <c r="I12" s="255"/>
      <c r="J12" s="255"/>
      <c r="K12" s="255"/>
      <c r="L12" s="255"/>
      <c r="M12" s="255"/>
      <c r="N12" s="255"/>
      <c r="O12" s="255"/>
      <c r="P12" s="256"/>
    </row>
    <row r="13" spans="1:16" ht="126.75" customHeight="1" outlineLevel="1">
      <c r="A13" s="251" t="s">
        <v>97</v>
      </c>
      <c r="B13" s="182"/>
      <c r="C13" s="261"/>
      <c r="D13" s="283"/>
      <c r="E13" s="283"/>
      <c r="F13" s="283"/>
      <c r="G13" s="283"/>
      <c r="H13" s="283"/>
      <c r="I13" s="283"/>
      <c r="J13" s="283"/>
      <c r="K13" s="283"/>
      <c r="L13" s="283"/>
      <c r="M13" s="283"/>
      <c r="N13" s="283"/>
      <c r="O13" s="283"/>
      <c r="P13" s="262"/>
    </row>
    <row r="14" spans="1:16" ht="126.75" customHeight="1" outlineLevel="1">
      <c r="A14" s="251" t="s">
        <v>98</v>
      </c>
      <c r="B14" s="182"/>
      <c r="C14" s="257"/>
      <c r="D14" s="258"/>
      <c r="E14" s="258"/>
      <c r="F14" s="258"/>
      <c r="G14" s="258"/>
      <c r="H14" s="258"/>
      <c r="I14" s="258"/>
      <c r="J14" s="258"/>
      <c r="K14" s="258"/>
      <c r="L14" s="258"/>
      <c r="M14" s="258"/>
      <c r="N14" s="258"/>
      <c r="O14" s="258"/>
      <c r="P14" s="259"/>
    </row>
    <row r="15" spans="1:16" ht="231" customHeight="1" outlineLevel="1">
      <c r="A15" s="247" t="s">
        <v>99</v>
      </c>
      <c r="B15" s="208"/>
      <c r="C15" s="220" t="s">
        <v>100</v>
      </c>
      <c r="D15" s="207"/>
      <c r="E15" s="207"/>
      <c r="F15" s="207"/>
      <c r="G15" s="207"/>
      <c r="H15" s="207"/>
      <c r="I15" s="207"/>
      <c r="J15" s="207"/>
      <c r="K15" s="207"/>
      <c r="L15" s="207"/>
      <c r="M15" s="207"/>
      <c r="N15" s="207"/>
      <c r="O15" s="207"/>
      <c r="P15" s="208"/>
    </row>
    <row r="16" spans="1:16" ht="231" customHeight="1" outlineLevel="1">
      <c r="A16" s="245" t="s">
        <v>101</v>
      </c>
      <c r="B16" s="179"/>
      <c r="C16" s="242" t="s">
        <v>102</v>
      </c>
      <c r="D16" s="178"/>
      <c r="E16" s="178"/>
      <c r="F16" s="178"/>
      <c r="G16" s="178"/>
      <c r="H16" s="178"/>
      <c r="I16" s="178"/>
      <c r="J16" s="178"/>
      <c r="K16" s="178"/>
      <c r="L16" s="178"/>
      <c r="M16" s="178"/>
      <c r="N16" s="178"/>
      <c r="O16" s="178"/>
      <c r="P16" s="179"/>
    </row>
    <row r="17" spans="1:16" ht="19.5" customHeight="1" outlineLevel="1">
      <c r="A17" s="276" t="s">
        <v>103</v>
      </c>
      <c r="B17" s="181"/>
      <c r="C17" s="181"/>
      <c r="D17" s="181"/>
      <c r="E17" s="181"/>
      <c r="F17" s="181"/>
      <c r="G17" s="181"/>
      <c r="H17" s="181"/>
      <c r="I17" s="181"/>
      <c r="J17" s="181"/>
      <c r="K17" s="181"/>
      <c r="L17" s="181"/>
      <c r="M17" s="181"/>
      <c r="N17" s="181"/>
      <c r="O17" s="181"/>
      <c r="P17" s="182"/>
    </row>
    <row r="18" spans="1:16" ht="81" customHeight="1" outlineLevel="1">
      <c r="A18" s="251" t="s">
        <v>104</v>
      </c>
      <c r="B18" s="182"/>
      <c r="C18" s="282" t="s">
        <v>105</v>
      </c>
      <c r="D18" s="255"/>
      <c r="E18" s="255"/>
      <c r="F18" s="255"/>
      <c r="G18" s="255"/>
      <c r="H18" s="255"/>
      <c r="I18" s="255"/>
      <c r="J18" s="255"/>
      <c r="K18" s="255"/>
      <c r="L18" s="255"/>
      <c r="M18" s="255"/>
      <c r="N18" s="255"/>
      <c r="O18" s="255"/>
      <c r="P18" s="256"/>
    </row>
    <row r="19" spans="1:16" ht="81" customHeight="1" outlineLevel="1">
      <c r="A19" s="251" t="s">
        <v>106</v>
      </c>
      <c r="B19" s="182"/>
      <c r="C19" s="261"/>
      <c r="D19" s="283"/>
      <c r="E19" s="283"/>
      <c r="F19" s="283"/>
      <c r="G19" s="283"/>
      <c r="H19" s="283"/>
      <c r="I19" s="283"/>
      <c r="J19" s="283"/>
      <c r="K19" s="283"/>
      <c r="L19" s="283"/>
      <c r="M19" s="283"/>
      <c r="N19" s="283"/>
      <c r="O19" s="283"/>
      <c r="P19" s="262"/>
    </row>
    <row r="20" spans="1:16" ht="81" customHeight="1" outlineLevel="1">
      <c r="A20" s="251" t="s">
        <v>107</v>
      </c>
      <c r="B20" s="182"/>
      <c r="C20" s="257"/>
      <c r="D20" s="258"/>
      <c r="E20" s="258"/>
      <c r="F20" s="258"/>
      <c r="G20" s="258"/>
      <c r="H20" s="258"/>
      <c r="I20" s="258"/>
      <c r="J20" s="258"/>
      <c r="K20" s="258"/>
      <c r="L20" s="258"/>
      <c r="M20" s="258"/>
      <c r="N20" s="258"/>
      <c r="O20" s="258"/>
      <c r="P20" s="259"/>
    </row>
    <row r="21" spans="1:16" ht="19.5" customHeight="1">
      <c r="A21" s="276" t="s">
        <v>108</v>
      </c>
      <c r="B21" s="181"/>
      <c r="C21" s="181"/>
      <c r="D21" s="181"/>
      <c r="E21" s="181"/>
      <c r="F21" s="181"/>
      <c r="G21" s="181"/>
      <c r="H21" s="181"/>
      <c r="I21" s="181"/>
      <c r="J21" s="181"/>
      <c r="K21" s="181"/>
      <c r="L21" s="181"/>
      <c r="M21" s="181"/>
      <c r="N21" s="181"/>
      <c r="O21" s="181"/>
      <c r="P21" s="182"/>
    </row>
    <row r="22" spans="1:16" ht="19.5" customHeight="1">
      <c r="A22" s="260" t="s">
        <v>109</v>
      </c>
      <c r="B22" s="256"/>
      <c r="C22" s="251" t="s">
        <v>110</v>
      </c>
      <c r="D22" s="181"/>
      <c r="E22" s="181"/>
      <c r="F22" s="181"/>
      <c r="G22" s="181"/>
      <c r="H22" s="181"/>
      <c r="I22" s="181"/>
      <c r="J22" s="181"/>
      <c r="K22" s="181"/>
      <c r="L22" s="181"/>
      <c r="M22" s="181"/>
      <c r="N22" s="181"/>
      <c r="O22" s="181"/>
      <c r="P22" s="182"/>
    </row>
    <row r="23" spans="1:16" ht="19.5" customHeight="1">
      <c r="A23" s="261"/>
      <c r="B23" s="262"/>
      <c r="C23" s="271"/>
      <c r="D23" s="181"/>
      <c r="E23" s="181"/>
      <c r="F23" s="181"/>
      <c r="G23" s="181"/>
      <c r="H23" s="181"/>
      <c r="I23" s="181"/>
      <c r="J23" s="181"/>
      <c r="K23" s="181"/>
      <c r="L23" s="181"/>
      <c r="M23" s="181"/>
      <c r="N23" s="181"/>
      <c r="O23" s="181"/>
      <c r="P23" s="182"/>
    </row>
    <row r="24" spans="1:16" ht="19.5" customHeight="1">
      <c r="A24" s="261"/>
      <c r="B24" s="262"/>
      <c r="C24" s="251" t="s">
        <v>111</v>
      </c>
      <c r="D24" s="181"/>
      <c r="E24" s="181"/>
      <c r="F24" s="181"/>
      <c r="G24" s="181"/>
      <c r="H24" s="182"/>
      <c r="I24" s="251" t="s">
        <v>112</v>
      </c>
      <c r="J24" s="181"/>
      <c r="K24" s="181"/>
      <c r="L24" s="181"/>
      <c r="M24" s="181"/>
      <c r="N24" s="181"/>
      <c r="O24" s="181"/>
      <c r="P24" s="182"/>
    </row>
    <row r="25" spans="1:16" ht="19.5" customHeight="1">
      <c r="A25" s="261"/>
      <c r="B25" s="262"/>
      <c r="C25" s="271"/>
      <c r="D25" s="181"/>
      <c r="E25" s="181"/>
      <c r="F25" s="181"/>
      <c r="G25" s="181"/>
      <c r="H25" s="182"/>
      <c r="I25" s="271"/>
      <c r="J25" s="181"/>
      <c r="K25" s="181"/>
      <c r="L25" s="181"/>
      <c r="M25" s="181"/>
      <c r="N25" s="181"/>
      <c r="O25" s="181"/>
      <c r="P25" s="182"/>
    </row>
    <row r="26" spans="1:16" ht="19.5" customHeight="1">
      <c r="A26" s="261"/>
      <c r="B26" s="262"/>
      <c r="C26" s="271"/>
      <c r="D26" s="181"/>
      <c r="E26" s="181"/>
      <c r="F26" s="181"/>
      <c r="G26" s="181"/>
      <c r="H26" s="182"/>
      <c r="I26" s="271"/>
      <c r="J26" s="181"/>
      <c r="K26" s="181"/>
      <c r="L26" s="181"/>
      <c r="M26" s="181"/>
      <c r="N26" s="181"/>
      <c r="O26" s="181"/>
      <c r="P26" s="182"/>
    </row>
    <row r="27" spans="1:16" ht="19.5" customHeight="1">
      <c r="A27" s="257"/>
      <c r="B27" s="259"/>
      <c r="C27" s="271"/>
      <c r="D27" s="181"/>
      <c r="E27" s="181"/>
      <c r="F27" s="181"/>
      <c r="G27" s="181"/>
      <c r="H27" s="182"/>
      <c r="I27" s="271"/>
      <c r="J27" s="181"/>
      <c r="K27" s="181"/>
      <c r="L27" s="181"/>
      <c r="M27" s="181"/>
      <c r="N27" s="181"/>
      <c r="O27" s="181"/>
      <c r="P27" s="182"/>
    </row>
    <row r="28" spans="1:16" ht="19.5" customHeight="1">
      <c r="A28" s="253" t="s">
        <v>113</v>
      </c>
      <c r="B28" s="181"/>
      <c r="C28" s="181"/>
      <c r="D28" s="181"/>
      <c r="E28" s="181"/>
      <c r="F28" s="181"/>
      <c r="G28" s="181"/>
      <c r="H28" s="181"/>
      <c r="I28" s="181"/>
      <c r="J28" s="181"/>
      <c r="K28" s="181"/>
      <c r="L28" s="181"/>
      <c r="M28" s="181"/>
      <c r="N28" s="181"/>
      <c r="O28" s="181"/>
      <c r="P28" s="182"/>
    </row>
    <row r="29" spans="1:16" ht="19.5" customHeight="1">
      <c r="A29" s="251" t="s">
        <v>114</v>
      </c>
      <c r="B29" s="181"/>
      <c r="C29" s="182"/>
      <c r="D29" s="89"/>
      <c r="E29" s="264"/>
      <c r="F29" s="182"/>
      <c r="G29" s="264"/>
      <c r="H29" s="181"/>
      <c r="I29" s="181"/>
      <c r="J29" s="182"/>
      <c r="K29" s="251" t="s">
        <v>88</v>
      </c>
      <c r="L29" s="182"/>
      <c r="M29" s="281"/>
      <c r="N29" s="181"/>
      <c r="O29" s="181"/>
      <c r="P29" s="182"/>
    </row>
    <row r="30" spans="1:16" ht="19.5" customHeight="1">
      <c r="A30" s="251" t="s">
        <v>115</v>
      </c>
      <c r="B30" s="181"/>
      <c r="C30" s="182"/>
      <c r="D30" s="89"/>
      <c r="E30" s="251" t="s">
        <v>116</v>
      </c>
      <c r="F30" s="181"/>
      <c r="G30" s="181"/>
      <c r="H30" s="181"/>
      <c r="I30" s="181"/>
      <c r="J30" s="181"/>
      <c r="K30" s="181"/>
      <c r="L30" s="181"/>
      <c r="M30" s="181"/>
      <c r="N30" s="181"/>
      <c r="O30" s="181"/>
      <c r="P30" s="182"/>
    </row>
    <row r="31" spans="1:16" ht="19.5" customHeight="1">
      <c r="A31" s="254" t="s">
        <v>117</v>
      </c>
      <c r="B31" s="181"/>
      <c r="C31" s="182"/>
      <c r="D31" s="93"/>
      <c r="E31" s="254" t="s">
        <v>118</v>
      </c>
      <c r="F31" s="182"/>
      <c r="G31" s="274" t="s">
        <v>119</v>
      </c>
      <c r="H31" s="182"/>
      <c r="I31" s="93" t="s">
        <v>120</v>
      </c>
      <c r="J31" s="93" t="s">
        <v>121</v>
      </c>
      <c r="K31" s="93" t="s">
        <v>122</v>
      </c>
      <c r="L31" s="254" t="s">
        <v>123</v>
      </c>
      <c r="M31" s="181"/>
      <c r="N31" s="182"/>
      <c r="O31" s="254" t="s">
        <v>124</v>
      </c>
      <c r="P31" s="182"/>
    </row>
    <row r="32" spans="1:16" ht="19.5" customHeight="1">
      <c r="A32" s="263" t="s">
        <v>125</v>
      </c>
      <c r="B32" s="181"/>
      <c r="C32" s="181"/>
      <c r="D32" s="181"/>
      <c r="E32" s="181"/>
      <c r="F32" s="181"/>
      <c r="G32" s="181"/>
      <c r="H32" s="181"/>
      <c r="I32" s="181"/>
      <c r="J32" s="181"/>
      <c r="K32" s="181"/>
      <c r="L32" s="181"/>
      <c r="M32" s="181"/>
      <c r="N32" s="181"/>
      <c r="O32" s="181"/>
      <c r="P32" s="182"/>
    </row>
    <row r="33" spans="1:16" ht="19.5" customHeight="1">
      <c r="A33" s="26" t="s">
        <v>126</v>
      </c>
      <c r="B33" s="202"/>
      <c r="C33" s="179"/>
      <c r="D33" s="81"/>
      <c r="E33" s="202"/>
      <c r="F33" s="179"/>
      <c r="G33" s="202"/>
      <c r="H33" s="179"/>
      <c r="I33" s="84"/>
      <c r="J33" s="84"/>
      <c r="K33" s="84"/>
      <c r="L33" s="224"/>
      <c r="M33" s="178"/>
      <c r="N33" s="179"/>
      <c r="O33" s="202"/>
      <c r="P33" s="179"/>
    </row>
    <row r="34" spans="1:16" ht="19.5" customHeight="1">
      <c r="A34" s="27" t="s">
        <v>127</v>
      </c>
      <c r="B34" s="249"/>
      <c r="C34" s="182"/>
      <c r="D34" s="90"/>
      <c r="E34" s="249"/>
      <c r="F34" s="182"/>
      <c r="G34" s="249"/>
      <c r="H34" s="182"/>
      <c r="I34" s="91"/>
      <c r="J34" s="91"/>
      <c r="K34" s="91"/>
      <c r="L34" s="249"/>
      <c r="M34" s="181"/>
      <c r="N34" s="182"/>
      <c r="O34" s="250"/>
      <c r="P34" s="182"/>
    </row>
    <row r="35" spans="1:16" ht="19.5" customHeight="1">
      <c r="A35" s="27" t="s">
        <v>128</v>
      </c>
      <c r="B35" s="249"/>
      <c r="C35" s="182"/>
      <c r="D35" s="90"/>
      <c r="E35" s="249"/>
      <c r="F35" s="182"/>
      <c r="G35" s="249"/>
      <c r="H35" s="182"/>
      <c r="I35" s="91"/>
      <c r="J35" s="91"/>
      <c r="K35" s="91"/>
      <c r="L35" s="249"/>
      <c r="M35" s="181"/>
      <c r="N35" s="182"/>
      <c r="O35" s="250"/>
      <c r="P35" s="182"/>
    </row>
    <row r="36" spans="1:16" ht="19.5" customHeight="1">
      <c r="A36" s="26" t="s">
        <v>129</v>
      </c>
      <c r="B36" s="202"/>
      <c r="C36" s="179"/>
      <c r="D36" s="81"/>
      <c r="E36" s="202"/>
      <c r="F36" s="179"/>
      <c r="G36" s="202"/>
      <c r="H36" s="179"/>
      <c r="I36" s="84"/>
      <c r="J36" s="84"/>
      <c r="K36" s="84"/>
      <c r="L36" s="224"/>
      <c r="M36" s="178"/>
      <c r="N36" s="179"/>
      <c r="O36" s="202"/>
      <c r="P36" s="179"/>
    </row>
    <row r="37" spans="1:16" ht="19.5" customHeight="1">
      <c r="A37" s="26" t="s">
        <v>130</v>
      </c>
      <c r="B37" s="202"/>
      <c r="C37" s="179"/>
      <c r="D37" s="81"/>
      <c r="E37" s="202"/>
      <c r="F37" s="179"/>
      <c r="G37" s="202"/>
      <c r="H37" s="179"/>
      <c r="I37" s="84"/>
      <c r="J37" s="84"/>
      <c r="K37" s="84"/>
      <c r="L37" s="224"/>
      <c r="M37" s="178"/>
      <c r="N37" s="179"/>
      <c r="O37" s="202"/>
      <c r="P37" s="179"/>
    </row>
    <row r="38" spans="1:16" ht="19.5" customHeight="1">
      <c r="A38" s="263" t="s">
        <v>131</v>
      </c>
      <c r="B38" s="181"/>
      <c r="C38" s="181"/>
      <c r="D38" s="181"/>
      <c r="E38" s="181"/>
      <c r="F38" s="181"/>
      <c r="G38" s="181"/>
      <c r="H38" s="181"/>
      <c r="I38" s="181"/>
      <c r="J38" s="181"/>
      <c r="K38" s="181"/>
      <c r="L38" s="181"/>
      <c r="M38" s="181"/>
      <c r="N38" s="181"/>
      <c r="O38" s="181"/>
      <c r="P38" s="182"/>
    </row>
    <row r="39" spans="1:16" ht="19.5" customHeight="1">
      <c r="A39" s="27" t="s">
        <v>132</v>
      </c>
      <c r="B39" s="249"/>
      <c r="C39" s="182"/>
      <c r="D39" s="90" t="str">
        <f t="shared" ref="D39:D53" si="0">A39&amp;" "&amp;B39</f>
        <v xml:space="preserve">1.1 </v>
      </c>
      <c r="E39" s="249"/>
      <c r="F39" s="182"/>
      <c r="G39" s="249"/>
      <c r="H39" s="182"/>
      <c r="I39" s="91"/>
      <c r="J39" s="91"/>
      <c r="K39" s="91"/>
      <c r="L39" s="249"/>
      <c r="M39" s="181"/>
      <c r="N39" s="182"/>
      <c r="O39" s="250"/>
      <c r="P39" s="182"/>
    </row>
    <row r="40" spans="1:16" ht="19.5" customHeight="1">
      <c r="A40" s="27" t="s">
        <v>133</v>
      </c>
      <c r="B40" s="249"/>
      <c r="C40" s="182"/>
      <c r="D40" s="90" t="str">
        <f t="shared" si="0"/>
        <v xml:space="preserve">1.2 </v>
      </c>
      <c r="E40" s="249"/>
      <c r="F40" s="182"/>
      <c r="G40" s="249"/>
      <c r="H40" s="182"/>
      <c r="I40" s="91"/>
      <c r="J40" s="91"/>
      <c r="K40" s="91"/>
      <c r="L40" s="249"/>
      <c r="M40" s="181"/>
      <c r="N40" s="182"/>
      <c r="O40" s="250"/>
      <c r="P40" s="182"/>
    </row>
    <row r="41" spans="1:16" ht="19.5" customHeight="1">
      <c r="A41" s="27" t="s">
        <v>134</v>
      </c>
      <c r="B41" s="249"/>
      <c r="C41" s="182"/>
      <c r="D41" s="90" t="str">
        <f t="shared" si="0"/>
        <v xml:space="preserve">1.3 </v>
      </c>
      <c r="E41" s="249"/>
      <c r="F41" s="182"/>
      <c r="G41" s="249"/>
      <c r="H41" s="182"/>
      <c r="I41" s="91"/>
      <c r="J41" s="91"/>
      <c r="K41" s="91"/>
      <c r="L41" s="249"/>
      <c r="M41" s="181"/>
      <c r="N41" s="182"/>
      <c r="O41" s="250"/>
      <c r="P41" s="182"/>
    </row>
    <row r="42" spans="1:16" ht="19.5" customHeight="1">
      <c r="A42" s="27" t="s">
        <v>135</v>
      </c>
      <c r="B42" s="249"/>
      <c r="C42" s="182"/>
      <c r="D42" s="90" t="str">
        <f t="shared" si="0"/>
        <v xml:space="preserve">2.1 </v>
      </c>
      <c r="E42" s="249"/>
      <c r="F42" s="182"/>
      <c r="G42" s="249"/>
      <c r="H42" s="182"/>
      <c r="I42" s="91"/>
      <c r="J42" s="91"/>
      <c r="K42" s="91"/>
      <c r="L42" s="249"/>
      <c r="M42" s="181"/>
      <c r="N42" s="182"/>
      <c r="O42" s="250"/>
      <c r="P42" s="182"/>
    </row>
    <row r="43" spans="1:16" ht="19.5" customHeight="1">
      <c r="A43" s="27" t="s">
        <v>136</v>
      </c>
      <c r="B43" s="249"/>
      <c r="C43" s="182"/>
      <c r="D43" s="90" t="str">
        <f t="shared" si="0"/>
        <v xml:space="preserve">2.2 </v>
      </c>
      <c r="E43" s="249"/>
      <c r="F43" s="182"/>
      <c r="G43" s="249"/>
      <c r="H43" s="182"/>
      <c r="I43" s="91"/>
      <c r="J43" s="91"/>
      <c r="K43" s="91"/>
      <c r="L43" s="249"/>
      <c r="M43" s="181"/>
      <c r="N43" s="182"/>
      <c r="O43" s="250"/>
      <c r="P43" s="182"/>
    </row>
    <row r="44" spans="1:16" ht="19.5" customHeight="1">
      <c r="A44" s="27" t="s">
        <v>137</v>
      </c>
      <c r="B44" s="249"/>
      <c r="C44" s="182"/>
      <c r="D44" s="90" t="str">
        <f t="shared" si="0"/>
        <v xml:space="preserve">2.3 </v>
      </c>
      <c r="E44" s="249"/>
      <c r="F44" s="182"/>
      <c r="G44" s="249"/>
      <c r="H44" s="182"/>
      <c r="I44" s="91"/>
      <c r="J44" s="91"/>
      <c r="K44" s="91"/>
      <c r="L44" s="249"/>
      <c r="M44" s="181"/>
      <c r="N44" s="182"/>
      <c r="O44" s="250"/>
      <c r="P44" s="182"/>
    </row>
    <row r="45" spans="1:16" ht="19.5" customHeight="1">
      <c r="A45" s="27" t="s">
        <v>138</v>
      </c>
      <c r="B45" s="249"/>
      <c r="C45" s="182"/>
      <c r="D45" s="90" t="str">
        <f t="shared" si="0"/>
        <v xml:space="preserve">3.1 </v>
      </c>
      <c r="E45" s="249"/>
      <c r="F45" s="182"/>
      <c r="G45" s="249"/>
      <c r="H45" s="182"/>
      <c r="I45" s="91"/>
      <c r="J45" s="91"/>
      <c r="K45" s="91"/>
      <c r="L45" s="249"/>
      <c r="M45" s="181"/>
      <c r="N45" s="182"/>
      <c r="O45" s="250"/>
      <c r="P45" s="182"/>
    </row>
    <row r="46" spans="1:16" ht="19.5" customHeight="1">
      <c r="A46" s="27" t="s">
        <v>139</v>
      </c>
      <c r="B46" s="249"/>
      <c r="C46" s="182"/>
      <c r="D46" s="90" t="str">
        <f t="shared" si="0"/>
        <v xml:space="preserve">3.2 </v>
      </c>
      <c r="E46" s="249"/>
      <c r="F46" s="182"/>
      <c r="G46" s="249"/>
      <c r="H46" s="182"/>
      <c r="I46" s="91"/>
      <c r="J46" s="91"/>
      <c r="K46" s="91"/>
      <c r="L46" s="249"/>
      <c r="M46" s="181"/>
      <c r="N46" s="182"/>
      <c r="O46" s="250"/>
      <c r="P46" s="182"/>
    </row>
    <row r="47" spans="1:16" ht="19.5" customHeight="1">
      <c r="A47" s="27" t="s">
        <v>140</v>
      </c>
      <c r="B47" s="249"/>
      <c r="C47" s="182"/>
      <c r="D47" s="90" t="str">
        <f t="shared" si="0"/>
        <v xml:space="preserve">3.3 </v>
      </c>
      <c r="E47" s="249"/>
      <c r="F47" s="182"/>
      <c r="G47" s="249"/>
      <c r="H47" s="182"/>
      <c r="I47" s="91"/>
      <c r="J47" s="91"/>
      <c r="K47" s="91"/>
      <c r="L47" s="249"/>
      <c r="M47" s="181"/>
      <c r="N47" s="182"/>
      <c r="O47" s="250"/>
      <c r="P47" s="182"/>
    </row>
    <row r="48" spans="1:16" ht="19.5" customHeight="1">
      <c r="A48" s="26" t="s">
        <v>141</v>
      </c>
      <c r="B48" s="202"/>
      <c r="C48" s="179"/>
      <c r="D48" s="81" t="str">
        <f t="shared" si="0"/>
        <v xml:space="preserve">4.1 </v>
      </c>
      <c r="E48" s="202"/>
      <c r="F48" s="179"/>
      <c r="G48" s="202"/>
      <c r="H48" s="179"/>
      <c r="I48" s="84"/>
      <c r="J48" s="84"/>
      <c r="K48" s="84"/>
      <c r="L48" s="224"/>
      <c r="M48" s="178"/>
      <c r="N48" s="179"/>
      <c r="O48" s="202"/>
      <c r="P48" s="179"/>
    </row>
    <row r="49" spans="1:16" ht="19.5" customHeight="1">
      <c r="A49" s="26" t="s">
        <v>142</v>
      </c>
      <c r="B49" s="202"/>
      <c r="C49" s="179"/>
      <c r="D49" s="81" t="str">
        <f t="shared" si="0"/>
        <v xml:space="preserve">4.2 </v>
      </c>
      <c r="E49" s="202"/>
      <c r="F49" s="179"/>
      <c r="G49" s="202"/>
      <c r="H49" s="179"/>
      <c r="I49" s="84"/>
      <c r="J49" s="84"/>
      <c r="K49" s="84"/>
      <c r="L49" s="224"/>
      <c r="M49" s="178"/>
      <c r="N49" s="179"/>
      <c r="O49" s="202"/>
      <c r="P49" s="179"/>
    </row>
    <row r="50" spans="1:16" ht="19.5" customHeight="1">
      <c r="A50" s="26" t="s">
        <v>143</v>
      </c>
      <c r="B50" s="202"/>
      <c r="C50" s="179"/>
      <c r="D50" s="81" t="str">
        <f t="shared" si="0"/>
        <v xml:space="preserve">4.3 </v>
      </c>
      <c r="E50" s="202"/>
      <c r="F50" s="179"/>
      <c r="G50" s="202"/>
      <c r="H50" s="179"/>
      <c r="I50" s="84"/>
      <c r="J50" s="84"/>
      <c r="K50" s="84"/>
      <c r="L50" s="224"/>
      <c r="M50" s="178"/>
      <c r="N50" s="179"/>
      <c r="O50" s="202"/>
      <c r="P50" s="179"/>
    </row>
    <row r="51" spans="1:16" ht="19.5" customHeight="1">
      <c r="A51" s="26" t="s">
        <v>144</v>
      </c>
      <c r="B51" s="202"/>
      <c r="C51" s="179"/>
      <c r="D51" s="81" t="str">
        <f t="shared" si="0"/>
        <v xml:space="preserve">5.1 </v>
      </c>
      <c r="E51" s="202"/>
      <c r="F51" s="179"/>
      <c r="G51" s="202"/>
      <c r="H51" s="179"/>
      <c r="I51" s="84"/>
      <c r="J51" s="84"/>
      <c r="K51" s="84"/>
      <c r="L51" s="224"/>
      <c r="M51" s="178"/>
      <c r="N51" s="179"/>
      <c r="O51" s="202"/>
      <c r="P51" s="179"/>
    </row>
    <row r="52" spans="1:16" ht="19.5" customHeight="1">
      <c r="A52" s="26" t="s">
        <v>145</v>
      </c>
      <c r="B52" s="202"/>
      <c r="C52" s="179"/>
      <c r="D52" s="81" t="str">
        <f t="shared" si="0"/>
        <v xml:space="preserve">5.2 </v>
      </c>
      <c r="E52" s="202"/>
      <c r="F52" s="179"/>
      <c r="G52" s="202"/>
      <c r="H52" s="179"/>
      <c r="I52" s="84"/>
      <c r="J52" s="84"/>
      <c r="K52" s="84"/>
      <c r="L52" s="224"/>
      <c r="M52" s="178"/>
      <c r="N52" s="179"/>
      <c r="O52" s="202"/>
      <c r="P52" s="179"/>
    </row>
    <row r="53" spans="1:16" ht="19.5" customHeight="1">
      <c r="A53" s="26" t="s">
        <v>146</v>
      </c>
      <c r="B53" s="202"/>
      <c r="C53" s="179"/>
      <c r="D53" s="81" t="str">
        <f t="shared" si="0"/>
        <v xml:space="preserve">5.3 </v>
      </c>
      <c r="E53" s="202"/>
      <c r="F53" s="179"/>
      <c r="G53" s="202"/>
      <c r="H53" s="179"/>
      <c r="I53" s="84"/>
      <c r="J53" s="84"/>
      <c r="K53" s="84"/>
      <c r="L53" s="224"/>
      <c r="M53" s="178"/>
      <c r="N53" s="179"/>
      <c r="O53" s="202"/>
      <c r="P53" s="179"/>
    </row>
    <row r="54" spans="1:16" ht="19.5" customHeight="1">
      <c r="A54" s="253" t="s">
        <v>147</v>
      </c>
      <c r="B54" s="181"/>
      <c r="C54" s="181"/>
      <c r="D54" s="181"/>
      <c r="E54" s="181"/>
      <c r="F54" s="181"/>
      <c r="G54" s="181"/>
      <c r="H54" s="181"/>
      <c r="I54" s="181"/>
      <c r="J54" s="181"/>
      <c r="K54" s="181"/>
      <c r="L54" s="181"/>
      <c r="M54" s="181"/>
      <c r="N54" s="181"/>
      <c r="O54" s="181"/>
      <c r="P54" s="182"/>
    </row>
    <row r="55" spans="1:16" ht="19.5" customHeight="1">
      <c r="A55" s="254" t="s">
        <v>148</v>
      </c>
      <c r="B55" s="255"/>
      <c r="C55" s="256"/>
      <c r="D55" s="93"/>
      <c r="E55" s="254" t="s">
        <v>149</v>
      </c>
      <c r="F55" s="181"/>
      <c r="G55" s="181"/>
      <c r="H55" s="181"/>
      <c r="I55" s="181"/>
      <c r="J55" s="181"/>
      <c r="K55" s="181"/>
      <c r="L55" s="182"/>
      <c r="M55" s="254" t="s">
        <v>88</v>
      </c>
      <c r="N55" s="255"/>
      <c r="O55" s="255"/>
      <c r="P55" s="256"/>
    </row>
    <row r="56" spans="1:16" ht="19.5" customHeight="1">
      <c r="A56" s="257"/>
      <c r="B56" s="258"/>
      <c r="C56" s="259"/>
      <c r="D56" s="93"/>
      <c r="E56" s="93" t="s">
        <v>150</v>
      </c>
      <c r="F56" s="93" t="s">
        <v>151</v>
      </c>
      <c r="G56" s="254" t="s">
        <v>152</v>
      </c>
      <c r="H56" s="182"/>
      <c r="I56" s="254" t="s">
        <v>153</v>
      </c>
      <c r="J56" s="182"/>
      <c r="K56" s="254" t="s">
        <v>154</v>
      </c>
      <c r="L56" s="182"/>
      <c r="M56" s="257"/>
      <c r="N56" s="258"/>
      <c r="O56" s="258"/>
      <c r="P56" s="259"/>
    </row>
    <row r="57" spans="1:16" ht="19.5" customHeight="1">
      <c r="A57" s="27" t="s">
        <v>155</v>
      </c>
      <c r="B57" s="249"/>
      <c r="C57" s="182"/>
      <c r="D57" s="91" t="str">
        <f t="shared" ref="D57:D86" si="1">A57&amp;" "&amp;B57</f>
        <v xml:space="preserve">1.1.1 </v>
      </c>
      <c r="E57" s="91"/>
      <c r="F57" s="91"/>
      <c r="G57" s="250"/>
      <c r="H57" s="182"/>
      <c r="I57" s="250"/>
      <c r="J57" s="182"/>
      <c r="K57" s="250"/>
      <c r="L57" s="182"/>
      <c r="M57" s="249"/>
      <c r="N57" s="181"/>
      <c r="O57" s="181"/>
      <c r="P57" s="182"/>
    </row>
    <row r="58" spans="1:16" ht="19.5" customHeight="1">
      <c r="A58" s="27" t="s">
        <v>156</v>
      </c>
      <c r="B58" s="249"/>
      <c r="C58" s="182"/>
      <c r="D58" s="91" t="str">
        <f t="shared" si="1"/>
        <v xml:space="preserve">1.1.2 </v>
      </c>
      <c r="E58" s="91"/>
      <c r="F58" s="91"/>
      <c r="G58" s="250"/>
      <c r="H58" s="182"/>
      <c r="I58" s="250"/>
      <c r="J58" s="182"/>
      <c r="K58" s="250"/>
      <c r="L58" s="182"/>
      <c r="M58" s="249"/>
      <c r="N58" s="181"/>
      <c r="O58" s="181"/>
      <c r="P58" s="182"/>
    </row>
    <row r="59" spans="1:16" ht="19.5" customHeight="1">
      <c r="A59" s="27" t="s">
        <v>157</v>
      </c>
      <c r="B59" s="249"/>
      <c r="C59" s="182"/>
      <c r="D59" s="91" t="str">
        <f t="shared" si="1"/>
        <v xml:space="preserve">1.2.1 </v>
      </c>
      <c r="E59" s="91"/>
      <c r="F59" s="91"/>
      <c r="G59" s="250"/>
      <c r="H59" s="182"/>
      <c r="I59" s="250"/>
      <c r="J59" s="182"/>
      <c r="K59" s="250"/>
      <c r="L59" s="182"/>
      <c r="M59" s="249"/>
      <c r="N59" s="181"/>
      <c r="O59" s="181"/>
      <c r="P59" s="182"/>
    </row>
    <row r="60" spans="1:16" ht="19.5" customHeight="1">
      <c r="A60" s="27" t="s">
        <v>158</v>
      </c>
      <c r="B60" s="249"/>
      <c r="C60" s="182"/>
      <c r="D60" s="91" t="str">
        <f t="shared" si="1"/>
        <v xml:space="preserve">1.2.2 </v>
      </c>
      <c r="E60" s="91"/>
      <c r="F60" s="91"/>
      <c r="G60" s="250"/>
      <c r="H60" s="182"/>
      <c r="I60" s="250"/>
      <c r="J60" s="182"/>
      <c r="K60" s="250"/>
      <c r="L60" s="182"/>
      <c r="M60" s="249"/>
      <c r="N60" s="181"/>
      <c r="O60" s="181"/>
      <c r="P60" s="182"/>
    </row>
    <row r="61" spans="1:16" ht="19.5" customHeight="1">
      <c r="A61" s="27" t="s">
        <v>159</v>
      </c>
      <c r="B61" s="249"/>
      <c r="C61" s="182"/>
      <c r="D61" s="91" t="str">
        <f t="shared" si="1"/>
        <v xml:space="preserve">1.3.1 </v>
      </c>
      <c r="E61" s="91"/>
      <c r="F61" s="91"/>
      <c r="G61" s="250"/>
      <c r="H61" s="182"/>
      <c r="I61" s="250"/>
      <c r="J61" s="182"/>
      <c r="K61" s="250"/>
      <c r="L61" s="182"/>
      <c r="M61" s="249"/>
      <c r="N61" s="181"/>
      <c r="O61" s="181"/>
      <c r="P61" s="182"/>
    </row>
    <row r="62" spans="1:16" ht="19.5" customHeight="1">
      <c r="A62" s="27" t="s">
        <v>160</v>
      </c>
      <c r="B62" s="249"/>
      <c r="C62" s="182"/>
      <c r="D62" s="91" t="str">
        <f t="shared" si="1"/>
        <v xml:space="preserve">1.3.2 </v>
      </c>
      <c r="E62" s="91"/>
      <c r="F62" s="91"/>
      <c r="G62" s="250"/>
      <c r="H62" s="182"/>
      <c r="I62" s="250"/>
      <c r="J62" s="182"/>
      <c r="K62" s="250"/>
      <c r="L62" s="182"/>
      <c r="M62" s="249"/>
      <c r="N62" s="181"/>
      <c r="O62" s="181"/>
      <c r="P62" s="182"/>
    </row>
    <row r="63" spans="1:16" ht="19.5" customHeight="1">
      <c r="A63" s="27" t="s">
        <v>161</v>
      </c>
      <c r="B63" s="249"/>
      <c r="C63" s="182"/>
      <c r="D63" s="91" t="str">
        <f t="shared" si="1"/>
        <v xml:space="preserve">2.1.1 </v>
      </c>
      <c r="E63" s="91"/>
      <c r="F63" s="91"/>
      <c r="G63" s="250"/>
      <c r="H63" s="182"/>
      <c r="I63" s="250"/>
      <c r="J63" s="182"/>
      <c r="K63" s="250"/>
      <c r="L63" s="182"/>
      <c r="M63" s="249"/>
      <c r="N63" s="181"/>
      <c r="O63" s="181"/>
      <c r="P63" s="182"/>
    </row>
    <row r="64" spans="1:16" ht="19.5" customHeight="1">
      <c r="A64" s="27" t="s">
        <v>162</v>
      </c>
      <c r="B64" s="249"/>
      <c r="C64" s="182"/>
      <c r="D64" s="91" t="str">
        <f t="shared" si="1"/>
        <v xml:space="preserve">2.1.2 </v>
      </c>
      <c r="E64" s="91"/>
      <c r="F64" s="91"/>
      <c r="G64" s="250"/>
      <c r="H64" s="182"/>
      <c r="I64" s="250"/>
      <c r="J64" s="182"/>
      <c r="K64" s="250"/>
      <c r="L64" s="182"/>
      <c r="M64" s="249"/>
      <c r="N64" s="181"/>
      <c r="O64" s="181"/>
      <c r="P64" s="182"/>
    </row>
    <row r="65" spans="1:16" ht="19.5" customHeight="1">
      <c r="A65" s="27" t="s">
        <v>163</v>
      </c>
      <c r="B65" s="249"/>
      <c r="C65" s="182"/>
      <c r="D65" s="91" t="str">
        <f t="shared" si="1"/>
        <v xml:space="preserve">2.2.1 </v>
      </c>
      <c r="E65" s="91"/>
      <c r="F65" s="91"/>
      <c r="G65" s="250"/>
      <c r="H65" s="182"/>
      <c r="I65" s="250"/>
      <c r="J65" s="182"/>
      <c r="K65" s="250"/>
      <c r="L65" s="182"/>
      <c r="M65" s="249"/>
      <c r="N65" s="181"/>
      <c r="O65" s="181"/>
      <c r="P65" s="182"/>
    </row>
    <row r="66" spans="1:16" ht="19.5" customHeight="1">
      <c r="A66" s="27" t="s">
        <v>164</v>
      </c>
      <c r="B66" s="249"/>
      <c r="C66" s="182"/>
      <c r="D66" s="91" t="str">
        <f t="shared" si="1"/>
        <v xml:space="preserve">2.2.2 </v>
      </c>
      <c r="E66" s="91"/>
      <c r="F66" s="91"/>
      <c r="G66" s="250"/>
      <c r="H66" s="182"/>
      <c r="I66" s="250"/>
      <c r="J66" s="182"/>
      <c r="K66" s="250"/>
      <c r="L66" s="182"/>
      <c r="M66" s="249"/>
      <c r="N66" s="181"/>
      <c r="O66" s="181"/>
      <c r="P66" s="182"/>
    </row>
    <row r="67" spans="1:16" ht="19.5" customHeight="1">
      <c r="A67" s="27" t="s">
        <v>165</v>
      </c>
      <c r="B67" s="249"/>
      <c r="C67" s="182"/>
      <c r="D67" s="91" t="str">
        <f t="shared" si="1"/>
        <v xml:space="preserve">2.3.1 </v>
      </c>
      <c r="E67" s="91"/>
      <c r="F67" s="91"/>
      <c r="G67" s="250"/>
      <c r="H67" s="182"/>
      <c r="I67" s="250"/>
      <c r="J67" s="182"/>
      <c r="K67" s="250"/>
      <c r="L67" s="182"/>
      <c r="M67" s="249"/>
      <c r="N67" s="181"/>
      <c r="O67" s="181"/>
      <c r="P67" s="182"/>
    </row>
    <row r="68" spans="1:16" ht="19.5" customHeight="1">
      <c r="A68" s="27" t="s">
        <v>166</v>
      </c>
      <c r="B68" s="249"/>
      <c r="C68" s="182"/>
      <c r="D68" s="91" t="str">
        <f t="shared" si="1"/>
        <v xml:space="preserve">2.3.2 </v>
      </c>
      <c r="E68" s="91"/>
      <c r="F68" s="91"/>
      <c r="G68" s="250"/>
      <c r="H68" s="182"/>
      <c r="I68" s="250"/>
      <c r="J68" s="182"/>
      <c r="K68" s="250"/>
      <c r="L68" s="182"/>
      <c r="M68" s="249"/>
      <c r="N68" s="181"/>
      <c r="O68" s="181"/>
      <c r="P68" s="182"/>
    </row>
    <row r="69" spans="1:16" ht="19.5" customHeight="1">
      <c r="A69" s="27" t="s">
        <v>167</v>
      </c>
      <c r="B69" s="249"/>
      <c r="C69" s="182"/>
      <c r="D69" s="91" t="str">
        <f t="shared" si="1"/>
        <v xml:space="preserve">3.1.1 </v>
      </c>
      <c r="E69" s="91"/>
      <c r="F69" s="91"/>
      <c r="G69" s="250"/>
      <c r="H69" s="182"/>
      <c r="I69" s="250"/>
      <c r="J69" s="182"/>
      <c r="K69" s="250"/>
      <c r="L69" s="182"/>
      <c r="M69" s="249"/>
      <c r="N69" s="181"/>
      <c r="O69" s="181"/>
      <c r="P69" s="182"/>
    </row>
    <row r="70" spans="1:16" ht="19.5" customHeight="1">
      <c r="A70" s="27" t="s">
        <v>168</v>
      </c>
      <c r="B70" s="249"/>
      <c r="C70" s="182"/>
      <c r="D70" s="91" t="str">
        <f t="shared" si="1"/>
        <v xml:space="preserve">3.1.2 </v>
      </c>
      <c r="E70" s="91"/>
      <c r="F70" s="91"/>
      <c r="G70" s="250"/>
      <c r="H70" s="182"/>
      <c r="I70" s="250"/>
      <c r="J70" s="182"/>
      <c r="K70" s="250"/>
      <c r="L70" s="182"/>
      <c r="M70" s="249"/>
      <c r="N70" s="181"/>
      <c r="O70" s="181"/>
      <c r="P70" s="182"/>
    </row>
    <row r="71" spans="1:16" ht="19.5" customHeight="1">
      <c r="A71" s="27" t="s">
        <v>169</v>
      </c>
      <c r="B71" s="249"/>
      <c r="C71" s="182"/>
      <c r="D71" s="91" t="str">
        <f t="shared" si="1"/>
        <v xml:space="preserve">3.2.1 </v>
      </c>
      <c r="E71" s="91"/>
      <c r="F71" s="91"/>
      <c r="G71" s="250"/>
      <c r="H71" s="182"/>
      <c r="I71" s="250"/>
      <c r="J71" s="182"/>
      <c r="K71" s="250"/>
      <c r="L71" s="182"/>
      <c r="M71" s="249"/>
      <c r="N71" s="181"/>
      <c r="O71" s="181"/>
      <c r="P71" s="182"/>
    </row>
    <row r="72" spans="1:16" ht="19.5" customHeight="1">
      <c r="A72" s="27" t="s">
        <v>170</v>
      </c>
      <c r="B72" s="249"/>
      <c r="C72" s="182"/>
      <c r="D72" s="91" t="str">
        <f t="shared" si="1"/>
        <v xml:space="preserve">3.2.2 </v>
      </c>
      <c r="E72" s="91"/>
      <c r="F72" s="91"/>
      <c r="G72" s="250"/>
      <c r="H72" s="182"/>
      <c r="I72" s="250"/>
      <c r="J72" s="182"/>
      <c r="K72" s="250"/>
      <c r="L72" s="182"/>
      <c r="M72" s="249"/>
      <c r="N72" s="181"/>
      <c r="O72" s="181"/>
      <c r="P72" s="182"/>
    </row>
    <row r="73" spans="1:16" ht="19.5" customHeight="1">
      <c r="A73" s="27" t="s">
        <v>171</v>
      </c>
      <c r="B73" s="249"/>
      <c r="C73" s="182"/>
      <c r="D73" s="91" t="str">
        <f t="shared" si="1"/>
        <v xml:space="preserve">3.3.1 </v>
      </c>
      <c r="E73" s="91"/>
      <c r="F73" s="91"/>
      <c r="G73" s="250"/>
      <c r="H73" s="182"/>
      <c r="I73" s="250"/>
      <c r="J73" s="182"/>
      <c r="K73" s="250"/>
      <c r="L73" s="182"/>
      <c r="M73" s="249"/>
      <c r="N73" s="181"/>
      <c r="O73" s="181"/>
      <c r="P73" s="182"/>
    </row>
    <row r="74" spans="1:16" ht="19.5" customHeight="1">
      <c r="A74" s="27" t="s">
        <v>172</v>
      </c>
      <c r="B74" s="249"/>
      <c r="C74" s="182"/>
      <c r="D74" s="91" t="str">
        <f t="shared" si="1"/>
        <v xml:space="preserve">3.3.2 </v>
      </c>
      <c r="E74" s="91"/>
      <c r="F74" s="91"/>
      <c r="G74" s="250"/>
      <c r="H74" s="182"/>
      <c r="I74" s="250"/>
      <c r="J74" s="182"/>
      <c r="K74" s="250"/>
      <c r="L74" s="182"/>
      <c r="M74" s="249"/>
      <c r="N74" s="181"/>
      <c r="O74" s="181"/>
      <c r="P74" s="182"/>
    </row>
    <row r="75" spans="1:16" ht="19.5" customHeight="1">
      <c r="A75" s="26" t="s">
        <v>173</v>
      </c>
      <c r="B75" s="202"/>
      <c r="C75" s="179"/>
      <c r="D75" s="83" t="str">
        <f t="shared" si="1"/>
        <v xml:space="preserve">4.1.1 </v>
      </c>
      <c r="E75" s="84"/>
      <c r="F75" s="84"/>
      <c r="G75" s="221"/>
      <c r="H75" s="179"/>
      <c r="I75" s="221"/>
      <c r="J75" s="179"/>
      <c r="K75" s="221"/>
      <c r="L75" s="179"/>
      <c r="M75" s="202"/>
      <c r="N75" s="178"/>
      <c r="O75" s="178"/>
      <c r="P75" s="179"/>
    </row>
    <row r="76" spans="1:16" ht="19.5" customHeight="1">
      <c r="A76" s="26" t="s">
        <v>174</v>
      </c>
      <c r="B76" s="202"/>
      <c r="C76" s="179"/>
      <c r="D76" s="83" t="str">
        <f t="shared" si="1"/>
        <v xml:space="preserve">4.1.2 </v>
      </c>
      <c r="E76" s="84"/>
      <c r="F76" s="84"/>
      <c r="G76" s="221"/>
      <c r="H76" s="179"/>
      <c r="I76" s="221"/>
      <c r="J76" s="179"/>
      <c r="K76" s="221"/>
      <c r="L76" s="179"/>
      <c r="M76" s="202"/>
      <c r="N76" s="178"/>
      <c r="O76" s="178"/>
      <c r="P76" s="179"/>
    </row>
    <row r="77" spans="1:16" ht="19.5" customHeight="1">
      <c r="A77" s="26" t="s">
        <v>175</v>
      </c>
      <c r="B77" s="202"/>
      <c r="C77" s="179"/>
      <c r="D77" s="83" t="str">
        <f t="shared" si="1"/>
        <v xml:space="preserve">4.2.1 </v>
      </c>
      <c r="E77" s="84"/>
      <c r="F77" s="84"/>
      <c r="G77" s="221"/>
      <c r="H77" s="179"/>
      <c r="I77" s="221"/>
      <c r="J77" s="179"/>
      <c r="K77" s="221"/>
      <c r="L77" s="179"/>
      <c r="M77" s="202"/>
      <c r="N77" s="178"/>
      <c r="O77" s="178"/>
      <c r="P77" s="179"/>
    </row>
    <row r="78" spans="1:16" ht="19.5" customHeight="1">
      <c r="A78" s="26" t="s">
        <v>176</v>
      </c>
      <c r="B78" s="202"/>
      <c r="C78" s="179"/>
      <c r="D78" s="83" t="str">
        <f t="shared" si="1"/>
        <v xml:space="preserve">4.2.2 </v>
      </c>
      <c r="E78" s="84"/>
      <c r="F78" s="84"/>
      <c r="G78" s="221"/>
      <c r="H78" s="179"/>
      <c r="I78" s="221"/>
      <c r="J78" s="179"/>
      <c r="K78" s="221"/>
      <c r="L78" s="179"/>
      <c r="M78" s="202"/>
      <c r="N78" s="178"/>
      <c r="O78" s="178"/>
      <c r="P78" s="179"/>
    </row>
    <row r="79" spans="1:16" ht="19.5" customHeight="1">
      <c r="A79" s="26" t="s">
        <v>177</v>
      </c>
      <c r="B79" s="202"/>
      <c r="C79" s="179"/>
      <c r="D79" s="83" t="str">
        <f t="shared" si="1"/>
        <v xml:space="preserve">4.3.1 </v>
      </c>
      <c r="E79" s="84"/>
      <c r="F79" s="84"/>
      <c r="G79" s="221"/>
      <c r="H79" s="179"/>
      <c r="I79" s="221"/>
      <c r="J79" s="179"/>
      <c r="K79" s="221"/>
      <c r="L79" s="179"/>
      <c r="M79" s="202"/>
      <c r="N79" s="178"/>
      <c r="O79" s="178"/>
      <c r="P79" s="179"/>
    </row>
    <row r="80" spans="1:16" ht="19.5" customHeight="1">
      <c r="A80" s="26" t="s">
        <v>178</v>
      </c>
      <c r="B80" s="202"/>
      <c r="C80" s="179"/>
      <c r="D80" s="83" t="str">
        <f t="shared" si="1"/>
        <v xml:space="preserve">4.3.2 </v>
      </c>
      <c r="E80" s="84"/>
      <c r="F80" s="84"/>
      <c r="G80" s="221"/>
      <c r="H80" s="179"/>
      <c r="I80" s="221"/>
      <c r="J80" s="179"/>
      <c r="K80" s="221"/>
      <c r="L80" s="179"/>
      <c r="M80" s="202"/>
      <c r="N80" s="178"/>
      <c r="O80" s="178"/>
      <c r="P80" s="179"/>
    </row>
    <row r="81" spans="1:16" ht="19.5" customHeight="1">
      <c r="A81" s="26" t="s">
        <v>179</v>
      </c>
      <c r="B81" s="202"/>
      <c r="C81" s="179"/>
      <c r="D81" s="83" t="str">
        <f t="shared" si="1"/>
        <v xml:space="preserve">5.1.1 </v>
      </c>
      <c r="E81" s="84"/>
      <c r="F81" s="84"/>
      <c r="G81" s="221"/>
      <c r="H81" s="179"/>
      <c r="I81" s="221"/>
      <c r="J81" s="179"/>
      <c r="K81" s="221"/>
      <c r="L81" s="179"/>
      <c r="M81" s="202"/>
      <c r="N81" s="178"/>
      <c r="O81" s="178"/>
      <c r="P81" s="179"/>
    </row>
    <row r="82" spans="1:16" ht="19.5" customHeight="1">
      <c r="A82" s="26" t="s">
        <v>180</v>
      </c>
      <c r="B82" s="202"/>
      <c r="C82" s="179"/>
      <c r="D82" s="83" t="str">
        <f t="shared" si="1"/>
        <v xml:space="preserve">5.1.2 </v>
      </c>
      <c r="E82" s="84"/>
      <c r="F82" s="84"/>
      <c r="G82" s="221"/>
      <c r="H82" s="179"/>
      <c r="I82" s="221"/>
      <c r="J82" s="179"/>
      <c r="K82" s="221"/>
      <c r="L82" s="179"/>
      <c r="M82" s="202"/>
      <c r="N82" s="178"/>
      <c r="O82" s="178"/>
      <c r="P82" s="179"/>
    </row>
    <row r="83" spans="1:16" ht="19.5" customHeight="1">
      <c r="A83" s="26" t="s">
        <v>181</v>
      </c>
      <c r="B83" s="202"/>
      <c r="C83" s="179"/>
      <c r="D83" s="83" t="str">
        <f t="shared" si="1"/>
        <v xml:space="preserve">5.2.1 </v>
      </c>
      <c r="E83" s="84"/>
      <c r="F83" s="84"/>
      <c r="G83" s="221"/>
      <c r="H83" s="179"/>
      <c r="I83" s="221"/>
      <c r="J83" s="179"/>
      <c r="K83" s="221"/>
      <c r="L83" s="179"/>
      <c r="M83" s="202"/>
      <c r="N83" s="178"/>
      <c r="O83" s="178"/>
      <c r="P83" s="179"/>
    </row>
    <row r="84" spans="1:16" ht="19.5" customHeight="1">
      <c r="A84" s="26" t="s">
        <v>182</v>
      </c>
      <c r="B84" s="202"/>
      <c r="C84" s="179"/>
      <c r="D84" s="83" t="str">
        <f t="shared" si="1"/>
        <v xml:space="preserve">5.2.2 </v>
      </c>
      <c r="E84" s="84"/>
      <c r="F84" s="84"/>
      <c r="G84" s="221"/>
      <c r="H84" s="179"/>
      <c r="I84" s="221"/>
      <c r="J84" s="179"/>
      <c r="K84" s="221"/>
      <c r="L84" s="179"/>
      <c r="M84" s="202"/>
      <c r="N84" s="178"/>
      <c r="O84" s="178"/>
      <c r="P84" s="179"/>
    </row>
    <row r="85" spans="1:16" ht="19.5" customHeight="1">
      <c r="A85" s="26" t="s">
        <v>183</v>
      </c>
      <c r="B85" s="202"/>
      <c r="C85" s="179"/>
      <c r="D85" s="83" t="str">
        <f t="shared" si="1"/>
        <v xml:space="preserve">5.3.1 </v>
      </c>
      <c r="E85" s="84"/>
      <c r="F85" s="84"/>
      <c r="G85" s="221"/>
      <c r="H85" s="179"/>
      <c r="I85" s="221"/>
      <c r="J85" s="179"/>
      <c r="K85" s="221"/>
      <c r="L85" s="179"/>
      <c r="M85" s="202"/>
      <c r="N85" s="178"/>
      <c r="O85" s="178"/>
      <c r="P85" s="179"/>
    </row>
    <row r="86" spans="1:16" ht="19.5" customHeight="1">
      <c r="A86" s="26" t="s">
        <v>184</v>
      </c>
      <c r="B86" s="202"/>
      <c r="C86" s="179"/>
      <c r="D86" s="83" t="str">
        <f t="shared" si="1"/>
        <v xml:space="preserve">5.3.2 </v>
      </c>
      <c r="E86" s="84"/>
      <c r="F86" s="84"/>
      <c r="G86" s="221"/>
      <c r="H86" s="179"/>
      <c r="I86" s="221"/>
      <c r="J86" s="179"/>
      <c r="K86" s="221"/>
      <c r="L86" s="179"/>
      <c r="M86" s="202"/>
      <c r="N86" s="178"/>
      <c r="O86" s="178"/>
      <c r="P86" s="179"/>
    </row>
    <row r="87" spans="1:16" ht="19.5" customHeight="1">
      <c r="A87" s="253" t="s">
        <v>185</v>
      </c>
      <c r="B87" s="181"/>
      <c r="C87" s="181"/>
      <c r="D87" s="181"/>
      <c r="E87" s="181"/>
      <c r="F87" s="181"/>
      <c r="G87" s="181"/>
      <c r="H87" s="181"/>
      <c r="I87" s="181"/>
      <c r="J87" s="181"/>
      <c r="K87" s="181"/>
      <c r="L87" s="181"/>
      <c r="M87" s="181"/>
      <c r="N87" s="181"/>
      <c r="O87" s="181"/>
      <c r="P87" s="182"/>
    </row>
    <row r="88" spans="1:16" ht="19.5" customHeight="1">
      <c r="A88" s="251" t="s">
        <v>131</v>
      </c>
      <c r="B88" s="182"/>
      <c r="C88" s="89" t="s">
        <v>148</v>
      </c>
      <c r="D88" s="89"/>
      <c r="E88" s="251" t="s">
        <v>186</v>
      </c>
      <c r="F88" s="182"/>
      <c r="G88" s="89" t="s">
        <v>120</v>
      </c>
      <c r="H88" s="89" t="s">
        <v>187</v>
      </c>
      <c r="I88" s="89" t="s">
        <v>188</v>
      </c>
      <c r="J88" s="89" t="s">
        <v>189</v>
      </c>
      <c r="K88" s="89" t="s">
        <v>190</v>
      </c>
      <c r="L88" s="89" t="s">
        <v>191</v>
      </c>
      <c r="M88" s="89" t="s">
        <v>192</v>
      </c>
      <c r="N88" s="89" t="s">
        <v>193</v>
      </c>
      <c r="O88" s="89" t="s">
        <v>194</v>
      </c>
      <c r="P88" s="89" t="s">
        <v>189</v>
      </c>
    </row>
    <row r="89" spans="1:16" ht="19.5" customHeight="1">
      <c r="A89" s="249"/>
      <c r="B89" s="182"/>
      <c r="C89" s="90"/>
      <c r="D89" s="90"/>
      <c r="E89" s="265"/>
      <c r="F89" s="182"/>
      <c r="G89" s="92"/>
      <c r="H89" s="128"/>
      <c r="I89" s="92"/>
      <c r="J89" s="123">
        <f t="shared" ref="J89:J110" si="2">H89*I89</f>
        <v>0</v>
      </c>
      <c r="K89" s="125"/>
      <c r="L89" s="125"/>
      <c r="M89" s="125"/>
      <c r="N89" s="125"/>
      <c r="O89" s="125"/>
      <c r="P89" s="123">
        <f t="shared" ref="P89:P111" si="3">SUM(K89:O89)</f>
        <v>0</v>
      </c>
    </row>
    <row r="90" spans="1:16" ht="19.5" customHeight="1">
      <c r="A90" s="249"/>
      <c r="B90" s="182"/>
      <c r="C90" s="90"/>
      <c r="D90" s="90"/>
      <c r="E90" s="265"/>
      <c r="F90" s="182"/>
      <c r="G90" s="92"/>
      <c r="H90" s="128"/>
      <c r="I90" s="92"/>
      <c r="J90" s="123">
        <f t="shared" si="2"/>
        <v>0</v>
      </c>
      <c r="K90" s="125"/>
      <c r="L90" s="125"/>
      <c r="M90" s="125"/>
      <c r="N90" s="125"/>
      <c r="O90" s="125"/>
      <c r="P90" s="123">
        <f t="shared" si="3"/>
        <v>0</v>
      </c>
    </row>
    <row r="91" spans="1:16" ht="19.5" customHeight="1">
      <c r="A91" s="249"/>
      <c r="B91" s="182"/>
      <c r="C91" s="90"/>
      <c r="D91" s="90"/>
      <c r="E91" s="265"/>
      <c r="F91" s="182"/>
      <c r="G91" s="92"/>
      <c r="H91" s="128"/>
      <c r="I91" s="92"/>
      <c r="J91" s="123">
        <f t="shared" si="2"/>
        <v>0</v>
      </c>
      <c r="K91" s="125"/>
      <c r="L91" s="125"/>
      <c r="M91" s="125"/>
      <c r="N91" s="125"/>
      <c r="O91" s="125"/>
      <c r="P91" s="123">
        <f t="shared" si="3"/>
        <v>0</v>
      </c>
    </row>
    <row r="92" spans="1:16" ht="19.5" customHeight="1">
      <c r="A92" s="249"/>
      <c r="B92" s="182"/>
      <c r="C92" s="90"/>
      <c r="D92" s="90"/>
      <c r="E92" s="265"/>
      <c r="F92" s="182"/>
      <c r="G92" s="92"/>
      <c r="H92" s="128"/>
      <c r="I92" s="92"/>
      <c r="J92" s="123">
        <f t="shared" si="2"/>
        <v>0</v>
      </c>
      <c r="K92" s="125"/>
      <c r="L92" s="125"/>
      <c r="M92" s="125"/>
      <c r="N92" s="125"/>
      <c r="O92" s="125"/>
      <c r="P92" s="123">
        <f t="shared" si="3"/>
        <v>0</v>
      </c>
    </row>
    <row r="93" spans="1:16" ht="19.5" customHeight="1">
      <c r="A93" s="249"/>
      <c r="B93" s="182"/>
      <c r="C93" s="90"/>
      <c r="D93" s="90"/>
      <c r="E93" s="265"/>
      <c r="F93" s="182"/>
      <c r="G93" s="92"/>
      <c r="H93" s="128"/>
      <c r="I93" s="92"/>
      <c r="J93" s="123">
        <f t="shared" si="2"/>
        <v>0</v>
      </c>
      <c r="K93" s="125"/>
      <c r="L93" s="125"/>
      <c r="M93" s="125"/>
      <c r="N93" s="125"/>
      <c r="O93" s="125"/>
      <c r="P93" s="123">
        <f t="shared" si="3"/>
        <v>0</v>
      </c>
    </row>
    <row r="94" spans="1:16" ht="19.5" customHeight="1">
      <c r="A94" s="249"/>
      <c r="B94" s="182"/>
      <c r="C94" s="90"/>
      <c r="D94" s="90"/>
      <c r="E94" s="265"/>
      <c r="F94" s="182"/>
      <c r="G94" s="92"/>
      <c r="H94" s="128"/>
      <c r="I94" s="92"/>
      <c r="J94" s="123">
        <f t="shared" si="2"/>
        <v>0</v>
      </c>
      <c r="K94" s="125"/>
      <c r="L94" s="125"/>
      <c r="M94" s="125"/>
      <c r="N94" s="125"/>
      <c r="O94" s="125"/>
      <c r="P94" s="123">
        <f t="shared" si="3"/>
        <v>0</v>
      </c>
    </row>
    <row r="95" spans="1:16" ht="19.5" customHeight="1">
      <c r="A95" s="249"/>
      <c r="B95" s="182"/>
      <c r="C95" s="90"/>
      <c r="D95" s="90"/>
      <c r="E95" s="265"/>
      <c r="F95" s="182"/>
      <c r="G95" s="92"/>
      <c r="H95" s="128"/>
      <c r="I95" s="92"/>
      <c r="J95" s="123">
        <f t="shared" si="2"/>
        <v>0</v>
      </c>
      <c r="K95" s="125"/>
      <c r="L95" s="125"/>
      <c r="M95" s="125"/>
      <c r="N95" s="125"/>
      <c r="O95" s="125"/>
      <c r="P95" s="123">
        <f t="shared" si="3"/>
        <v>0</v>
      </c>
    </row>
    <row r="96" spans="1:16" ht="19.5" customHeight="1">
      <c r="A96" s="249"/>
      <c r="B96" s="182"/>
      <c r="C96" s="90"/>
      <c r="D96" s="90"/>
      <c r="E96" s="265"/>
      <c r="F96" s="182"/>
      <c r="G96" s="92"/>
      <c r="H96" s="128"/>
      <c r="I96" s="92"/>
      <c r="J96" s="123">
        <f t="shared" si="2"/>
        <v>0</v>
      </c>
      <c r="K96" s="125"/>
      <c r="L96" s="125"/>
      <c r="M96" s="125"/>
      <c r="N96" s="125"/>
      <c r="O96" s="125"/>
      <c r="P96" s="123">
        <f t="shared" si="3"/>
        <v>0</v>
      </c>
    </row>
    <row r="97" spans="1:16" ht="19.5" customHeight="1">
      <c r="A97" s="249"/>
      <c r="B97" s="182"/>
      <c r="C97" s="90"/>
      <c r="D97" s="90"/>
      <c r="E97" s="265"/>
      <c r="F97" s="182"/>
      <c r="G97" s="92"/>
      <c r="H97" s="128"/>
      <c r="I97" s="92"/>
      <c r="J97" s="123">
        <f t="shared" si="2"/>
        <v>0</v>
      </c>
      <c r="K97" s="125"/>
      <c r="L97" s="125"/>
      <c r="M97" s="125"/>
      <c r="N97" s="125"/>
      <c r="O97" s="125"/>
      <c r="P97" s="123">
        <f t="shared" si="3"/>
        <v>0</v>
      </c>
    </row>
    <row r="98" spans="1:16" ht="19.5" customHeight="1">
      <c r="A98" s="249"/>
      <c r="B98" s="182"/>
      <c r="C98" s="90"/>
      <c r="D98" s="90"/>
      <c r="E98" s="265"/>
      <c r="F98" s="182"/>
      <c r="G98" s="92"/>
      <c r="H98" s="128"/>
      <c r="I98" s="92"/>
      <c r="J98" s="123">
        <f t="shared" si="2"/>
        <v>0</v>
      </c>
      <c r="K98" s="125"/>
      <c r="L98" s="125"/>
      <c r="M98" s="125"/>
      <c r="N98" s="125"/>
      <c r="O98" s="125"/>
      <c r="P98" s="123">
        <f t="shared" si="3"/>
        <v>0</v>
      </c>
    </row>
    <row r="99" spans="1:16" ht="19.5" customHeight="1">
      <c r="A99" s="249"/>
      <c r="B99" s="182"/>
      <c r="C99" s="90"/>
      <c r="D99" s="90"/>
      <c r="E99" s="265"/>
      <c r="F99" s="182"/>
      <c r="G99" s="92"/>
      <c r="H99" s="128"/>
      <c r="I99" s="92"/>
      <c r="J99" s="123">
        <f t="shared" si="2"/>
        <v>0</v>
      </c>
      <c r="K99" s="125"/>
      <c r="L99" s="125"/>
      <c r="M99" s="125"/>
      <c r="N99" s="125"/>
      <c r="O99" s="125"/>
      <c r="P99" s="123">
        <f t="shared" si="3"/>
        <v>0</v>
      </c>
    </row>
    <row r="100" spans="1:16" ht="19.5" customHeight="1">
      <c r="A100" s="249"/>
      <c r="B100" s="182"/>
      <c r="C100" s="90"/>
      <c r="D100" s="90"/>
      <c r="E100" s="265"/>
      <c r="F100" s="182"/>
      <c r="G100" s="92"/>
      <c r="H100" s="128"/>
      <c r="I100" s="92"/>
      <c r="J100" s="123">
        <f t="shared" si="2"/>
        <v>0</v>
      </c>
      <c r="K100" s="125"/>
      <c r="L100" s="125"/>
      <c r="M100" s="125"/>
      <c r="N100" s="125"/>
      <c r="O100" s="125"/>
      <c r="P100" s="123">
        <f t="shared" si="3"/>
        <v>0</v>
      </c>
    </row>
    <row r="101" spans="1:16" ht="19.5" customHeight="1">
      <c r="A101" s="249"/>
      <c r="B101" s="182"/>
      <c r="C101" s="90"/>
      <c r="D101" s="90"/>
      <c r="E101" s="265"/>
      <c r="F101" s="182"/>
      <c r="G101" s="92"/>
      <c r="H101" s="128"/>
      <c r="I101" s="92"/>
      <c r="J101" s="123">
        <f t="shared" si="2"/>
        <v>0</v>
      </c>
      <c r="K101" s="125"/>
      <c r="L101" s="125"/>
      <c r="M101" s="125"/>
      <c r="N101" s="125"/>
      <c r="O101" s="125"/>
      <c r="P101" s="123">
        <f t="shared" si="3"/>
        <v>0</v>
      </c>
    </row>
    <row r="102" spans="1:16" ht="19.5" customHeight="1">
      <c r="A102" s="249"/>
      <c r="B102" s="182"/>
      <c r="C102" s="90"/>
      <c r="D102" s="90"/>
      <c r="E102" s="265"/>
      <c r="F102" s="182"/>
      <c r="G102" s="92"/>
      <c r="H102" s="128"/>
      <c r="I102" s="92"/>
      <c r="J102" s="123">
        <f t="shared" si="2"/>
        <v>0</v>
      </c>
      <c r="K102" s="125"/>
      <c r="L102" s="125"/>
      <c r="M102" s="125"/>
      <c r="N102" s="125"/>
      <c r="O102" s="125"/>
      <c r="P102" s="123">
        <f t="shared" si="3"/>
        <v>0</v>
      </c>
    </row>
    <row r="103" spans="1:16" ht="19.5" customHeight="1">
      <c r="A103" s="249"/>
      <c r="B103" s="182"/>
      <c r="C103" s="90"/>
      <c r="D103" s="90"/>
      <c r="E103" s="265"/>
      <c r="F103" s="182"/>
      <c r="G103" s="92"/>
      <c r="H103" s="128"/>
      <c r="I103" s="92"/>
      <c r="J103" s="123">
        <f t="shared" si="2"/>
        <v>0</v>
      </c>
      <c r="K103" s="125"/>
      <c r="L103" s="125"/>
      <c r="M103" s="125"/>
      <c r="N103" s="125"/>
      <c r="O103" s="125"/>
      <c r="P103" s="123">
        <f t="shared" si="3"/>
        <v>0</v>
      </c>
    </row>
    <row r="104" spans="1:16" ht="19.5" customHeight="1">
      <c r="A104" s="249"/>
      <c r="B104" s="182"/>
      <c r="C104" s="90"/>
      <c r="D104" s="90"/>
      <c r="E104" s="265"/>
      <c r="F104" s="182"/>
      <c r="G104" s="92"/>
      <c r="H104" s="128"/>
      <c r="I104" s="92"/>
      <c r="J104" s="123">
        <f t="shared" si="2"/>
        <v>0</v>
      </c>
      <c r="K104" s="125"/>
      <c r="L104" s="125"/>
      <c r="M104" s="125"/>
      <c r="N104" s="125"/>
      <c r="O104" s="125"/>
      <c r="P104" s="123">
        <f t="shared" si="3"/>
        <v>0</v>
      </c>
    </row>
    <row r="105" spans="1:16" ht="19.5" customHeight="1">
      <c r="A105" s="249"/>
      <c r="B105" s="182"/>
      <c r="C105" s="90"/>
      <c r="D105" s="90"/>
      <c r="E105" s="265"/>
      <c r="F105" s="182"/>
      <c r="G105" s="92"/>
      <c r="H105" s="128"/>
      <c r="I105" s="92"/>
      <c r="J105" s="123">
        <f t="shared" si="2"/>
        <v>0</v>
      </c>
      <c r="K105" s="125"/>
      <c r="L105" s="125"/>
      <c r="M105" s="125"/>
      <c r="N105" s="125"/>
      <c r="O105" s="125"/>
      <c r="P105" s="123">
        <f t="shared" si="3"/>
        <v>0</v>
      </c>
    </row>
    <row r="106" spans="1:16" ht="19.5" customHeight="1">
      <c r="A106" s="249"/>
      <c r="B106" s="182"/>
      <c r="C106" s="90"/>
      <c r="D106" s="90"/>
      <c r="E106" s="265"/>
      <c r="F106" s="182"/>
      <c r="G106" s="92"/>
      <c r="H106" s="128"/>
      <c r="I106" s="92"/>
      <c r="J106" s="123">
        <f t="shared" si="2"/>
        <v>0</v>
      </c>
      <c r="K106" s="125"/>
      <c r="L106" s="125"/>
      <c r="M106" s="125"/>
      <c r="N106" s="125"/>
      <c r="O106" s="125"/>
      <c r="P106" s="123">
        <f t="shared" si="3"/>
        <v>0</v>
      </c>
    </row>
    <row r="107" spans="1:16" ht="19.5" customHeight="1">
      <c r="A107" s="249"/>
      <c r="B107" s="182"/>
      <c r="C107" s="90"/>
      <c r="D107" s="90"/>
      <c r="E107" s="265"/>
      <c r="F107" s="182"/>
      <c r="G107" s="92"/>
      <c r="H107" s="128"/>
      <c r="I107" s="92"/>
      <c r="J107" s="123">
        <f t="shared" si="2"/>
        <v>0</v>
      </c>
      <c r="K107" s="125"/>
      <c r="L107" s="125"/>
      <c r="M107" s="125"/>
      <c r="N107" s="125"/>
      <c r="O107" s="125"/>
      <c r="P107" s="123">
        <f t="shared" si="3"/>
        <v>0</v>
      </c>
    </row>
    <row r="108" spans="1:16" ht="19.5" customHeight="1">
      <c r="A108" s="249"/>
      <c r="B108" s="182"/>
      <c r="C108" s="90"/>
      <c r="D108" s="90"/>
      <c r="E108" s="265"/>
      <c r="F108" s="182"/>
      <c r="G108" s="92"/>
      <c r="H108" s="128"/>
      <c r="I108" s="92"/>
      <c r="J108" s="123">
        <f t="shared" si="2"/>
        <v>0</v>
      </c>
      <c r="K108" s="125"/>
      <c r="L108" s="125"/>
      <c r="M108" s="125"/>
      <c r="N108" s="125"/>
      <c r="O108" s="125"/>
      <c r="P108" s="123">
        <f t="shared" si="3"/>
        <v>0</v>
      </c>
    </row>
    <row r="109" spans="1:16" ht="19.5" customHeight="1">
      <c r="A109" s="249"/>
      <c r="B109" s="182"/>
      <c r="C109" s="90"/>
      <c r="D109" s="90"/>
      <c r="E109" s="265"/>
      <c r="F109" s="182"/>
      <c r="G109" s="92"/>
      <c r="H109" s="128"/>
      <c r="I109" s="92"/>
      <c r="J109" s="123">
        <f t="shared" si="2"/>
        <v>0</v>
      </c>
      <c r="K109" s="125"/>
      <c r="L109" s="125"/>
      <c r="M109" s="125"/>
      <c r="N109" s="125"/>
      <c r="O109" s="125"/>
      <c r="P109" s="123">
        <f t="shared" si="3"/>
        <v>0</v>
      </c>
    </row>
    <row r="110" spans="1:16" ht="19.5" customHeight="1">
      <c r="A110" s="249"/>
      <c r="B110" s="182"/>
      <c r="C110" s="90"/>
      <c r="D110" s="90"/>
      <c r="E110" s="265"/>
      <c r="F110" s="182"/>
      <c r="G110" s="92"/>
      <c r="H110" s="128"/>
      <c r="I110" s="92"/>
      <c r="J110" s="123">
        <f t="shared" si="2"/>
        <v>0</v>
      </c>
      <c r="K110" s="125"/>
      <c r="L110" s="125"/>
      <c r="M110" s="125"/>
      <c r="N110" s="125"/>
      <c r="O110" s="125"/>
      <c r="P110" s="123">
        <f t="shared" si="3"/>
        <v>0</v>
      </c>
    </row>
    <row r="111" spans="1:16" ht="19.5" customHeight="1">
      <c r="A111" s="285" t="s">
        <v>229</v>
      </c>
      <c r="B111" s="181"/>
      <c r="C111" s="181"/>
      <c r="D111" s="181"/>
      <c r="E111" s="181"/>
      <c r="F111" s="181"/>
      <c r="G111" s="181"/>
      <c r="H111" s="181"/>
      <c r="I111" s="182"/>
      <c r="J111" s="129">
        <f t="shared" ref="J111:O111" si="4">SUM(J89:J110)</f>
        <v>0</v>
      </c>
      <c r="K111" s="123">
        <f t="shared" si="4"/>
        <v>0</v>
      </c>
      <c r="L111" s="123">
        <f t="shared" si="4"/>
        <v>0</v>
      </c>
      <c r="M111" s="123">
        <f t="shared" si="4"/>
        <v>0</v>
      </c>
      <c r="N111" s="123">
        <f t="shared" si="4"/>
        <v>0</v>
      </c>
      <c r="O111" s="123">
        <f t="shared" si="4"/>
        <v>0</v>
      </c>
      <c r="P111" s="123">
        <f t="shared" si="3"/>
        <v>0</v>
      </c>
    </row>
  </sheetData>
  <mergeCells count="375">
    <mergeCell ref="M77:P77"/>
    <mergeCell ref="O37:P37"/>
    <mergeCell ref="K84:L84"/>
    <mergeCell ref="O50:P50"/>
    <mergeCell ref="K86:L86"/>
    <mergeCell ref="E45:F45"/>
    <mergeCell ref="O42:P42"/>
    <mergeCell ref="G45:H45"/>
    <mergeCell ref="B65:C65"/>
    <mergeCell ref="O52:P52"/>
    <mergeCell ref="G47:H47"/>
    <mergeCell ref="G37:H37"/>
    <mergeCell ref="M68:P68"/>
    <mergeCell ref="B57:C57"/>
    <mergeCell ref="M57:P57"/>
    <mergeCell ref="K75:L75"/>
    <mergeCell ref="G83:H83"/>
    <mergeCell ref="A104:B104"/>
    <mergeCell ref="M69:P69"/>
    <mergeCell ref="A14:B14"/>
    <mergeCell ref="K7:L7"/>
    <mergeCell ref="K65:L65"/>
    <mergeCell ref="G63:H63"/>
    <mergeCell ref="I63:J63"/>
    <mergeCell ref="G50:H50"/>
    <mergeCell ref="M81:P81"/>
    <mergeCell ref="E96:F96"/>
    <mergeCell ref="B75:C75"/>
    <mergeCell ref="B62:C62"/>
    <mergeCell ref="G52:H52"/>
    <mergeCell ref="E98:F98"/>
    <mergeCell ref="E55:L55"/>
    <mergeCell ref="M76:P76"/>
    <mergeCell ref="B39:C39"/>
    <mergeCell ref="O7:P7"/>
    <mergeCell ref="G81:H81"/>
    <mergeCell ref="I81:J81"/>
    <mergeCell ref="O53:P53"/>
    <mergeCell ref="A13:B13"/>
    <mergeCell ref="G46:H46"/>
    <mergeCell ref="B50:C50"/>
    <mergeCell ref="E2:H2"/>
    <mergeCell ref="E102:F102"/>
    <mergeCell ref="A5:J5"/>
    <mergeCell ref="G77:H77"/>
    <mergeCell ref="I6:J6"/>
    <mergeCell ref="I77:J77"/>
    <mergeCell ref="B66:C66"/>
    <mergeCell ref="G40:H40"/>
    <mergeCell ref="I27:P27"/>
    <mergeCell ref="K64:L64"/>
    <mergeCell ref="I72:J72"/>
    <mergeCell ref="I25:P25"/>
    <mergeCell ref="K72:L72"/>
    <mergeCell ref="G49:H49"/>
    <mergeCell ref="M79:P79"/>
    <mergeCell ref="M73:P73"/>
    <mergeCell ref="M60:P60"/>
    <mergeCell ref="A91:B91"/>
    <mergeCell ref="I82:J82"/>
    <mergeCell ref="K82:L82"/>
    <mergeCell ref="A93:B93"/>
    <mergeCell ref="K6:L6"/>
    <mergeCell ref="E50:F50"/>
    <mergeCell ref="K83:L83"/>
    <mergeCell ref="K76:L76"/>
    <mergeCell ref="A11:P11"/>
    <mergeCell ref="E34:F34"/>
    <mergeCell ref="G34:H34"/>
    <mergeCell ref="K67:L67"/>
    <mergeCell ref="E49:F49"/>
    <mergeCell ref="E36:F36"/>
    <mergeCell ref="B40:C40"/>
    <mergeCell ref="E33:F33"/>
    <mergeCell ref="L39:N39"/>
    <mergeCell ref="K69:L69"/>
    <mergeCell ref="B70:C70"/>
    <mergeCell ref="O49:P49"/>
    <mergeCell ref="O43:P43"/>
    <mergeCell ref="M70:P70"/>
    <mergeCell ref="G58:H58"/>
    <mergeCell ref="L48:N48"/>
    <mergeCell ref="C23:P23"/>
    <mergeCell ref="M67:P67"/>
    <mergeCell ref="A12:B12"/>
    <mergeCell ref="A20:B20"/>
    <mergeCell ref="C16:P16"/>
    <mergeCell ref="I2:J2"/>
    <mergeCell ref="A94:B94"/>
    <mergeCell ref="A38:P38"/>
    <mergeCell ref="C27:H27"/>
    <mergeCell ref="B42:C42"/>
    <mergeCell ref="A22:B27"/>
    <mergeCell ref="G78:H78"/>
    <mergeCell ref="B82:C82"/>
    <mergeCell ref="B44:C44"/>
    <mergeCell ref="G80:H80"/>
    <mergeCell ref="K71:L71"/>
    <mergeCell ref="A30:C30"/>
    <mergeCell ref="G79:H79"/>
    <mergeCell ref="B83:C83"/>
    <mergeCell ref="G73:H73"/>
    <mergeCell ref="I79:J79"/>
    <mergeCell ref="I73:J73"/>
    <mergeCell ref="K73:L73"/>
    <mergeCell ref="B85:C85"/>
    <mergeCell ref="A88:B88"/>
    <mergeCell ref="M29:P29"/>
    <mergeCell ref="B86:C86"/>
    <mergeCell ref="M71:P71"/>
    <mergeCell ref="I76:J76"/>
    <mergeCell ref="G75:H75"/>
    <mergeCell ref="C26:H26"/>
    <mergeCell ref="M55:P56"/>
    <mergeCell ref="G70:H70"/>
    <mergeCell ref="I70:J70"/>
    <mergeCell ref="I57:J57"/>
    <mergeCell ref="A6:B6"/>
    <mergeCell ref="E35:F35"/>
    <mergeCell ref="G53:H53"/>
    <mergeCell ref="G7:H7"/>
    <mergeCell ref="I7:J7"/>
    <mergeCell ref="K63:L63"/>
    <mergeCell ref="O44:P44"/>
    <mergeCell ref="L34:N34"/>
    <mergeCell ref="O31:P31"/>
    <mergeCell ref="L49:N49"/>
    <mergeCell ref="L41:N41"/>
    <mergeCell ref="B35:C35"/>
    <mergeCell ref="O34:P34"/>
    <mergeCell ref="G42:H42"/>
    <mergeCell ref="E52:F52"/>
    <mergeCell ref="E39:F39"/>
    <mergeCell ref="O39:P39"/>
    <mergeCell ref="B43:C43"/>
    <mergeCell ref="G74:H74"/>
    <mergeCell ref="I3:J3"/>
    <mergeCell ref="K59:L59"/>
    <mergeCell ref="I68:J68"/>
    <mergeCell ref="I67:J67"/>
    <mergeCell ref="I24:P24"/>
    <mergeCell ref="K61:L61"/>
    <mergeCell ref="A54:P54"/>
    <mergeCell ref="K62:L62"/>
    <mergeCell ref="A19:B19"/>
    <mergeCell ref="B51:C51"/>
    <mergeCell ref="E3:H3"/>
    <mergeCell ref="E44:F44"/>
    <mergeCell ref="K60:L60"/>
    <mergeCell ref="M63:P63"/>
    <mergeCell ref="O36:P36"/>
    <mergeCell ref="G39:H39"/>
    <mergeCell ref="C8:P8"/>
    <mergeCell ref="B33:C33"/>
    <mergeCell ref="G44:H44"/>
    <mergeCell ref="I69:J69"/>
    <mergeCell ref="B41:C41"/>
    <mergeCell ref="A9:P9"/>
    <mergeCell ref="K5:N5"/>
    <mergeCell ref="A109:B109"/>
    <mergeCell ref="C24:H24"/>
    <mergeCell ref="B64:C64"/>
    <mergeCell ref="M74:P74"/>
    <mergeCell ref="A92:B92"/>
    <mergeCell ref="E106:F106"/>
    <mergeCell ref="A95:B95"/>
    <mergeCell ref="A97:B97"/>
    <mergeCell ref="A90:B90"/>
    <mergeCell ref="E105:F105"/>
    <mergeCell ref="E99:F99"/>
    <mergeCell ref="E101:F101"/>
    <mergeCell ref="E100:F100"/>
    <mergeCell ref="E103:F103"/>
    <mergeCell ref="A106:B106"/>
    <mergeCell ref="I85:J85"/>
    <mergeCell ref="K85:L85"/>
    <mergeCell ref="L44:N44"/>
    <mergeCell ref="L31:N31"/>
    <mergeCell ref="E107:F107"/>
    <mergeCell ref="M83:P83"/>
    <mergeCell ref="B60:C60"/>
    <mergeCell ref="E46:F46"/>
    <mergeCell ref="E97:F97"/>
    <mergeCell ref="A110:B110"/>
    <mergeCell ref="A16:B16"/>
    <mergeCell ref="B48:C48"/>
    <mergeCell ref="M58:P58"/>
    <mergeCell ref="A108:B108"/>
    <mergeCell ref="A18:B18"/>
    <mergeCell ref="B73:C73"/>
    <mergeCell ref="K77:L77"/>
    <mergeCell ref="M6:N6"/>
    <mergeCell ref="A55:C56"/>
    <mergeCell ref="B74:C74"/>
    <mergeCell ref="B68:C68"/>
    <mergeCell ref="M84:P84"/>
    <mergeCell ref="G31:H31"/>
    <mergeCell ref="M86:P86"/>
    <mergeCell ref="M80:P80"/>
    <mergeCell ref="L33:N33"/>
    <mergeCell ref="C6:D6"/>
    <mergeCell ref="A98:B98"/>
    <mergeCell ref="A17:P17"/>
    <mergeCell ref="L35:N35"/>
    <mergeCell ref="E51:F51"/>
    <mergeCell ref="B67:C67"/>
    <mergeCell ref="B61:C61"/>
    <mergeCell ref="K3:P3"/>
    <mergeCell ref="M78:P78"/>
    <mergeCell ref="O47:P47"/>
    <mergeCell ref="A96:B96"/>
    <mergeCell ref="E41:F41"/>
    <mergeCell ref="G41:H41"/>
    <mergeCell ref="B45:C45"/>
    <mergeCell ref="G56:H56"/>
    <mergeCell ref="E43:F43"/>
    <mergeCell ref="G43:H43"/>
    <mergeCell ref="B47:C47"/>
    <mergeCell ref="B59:C59"/>
    <mergeCell ref="B46:C46"/>
    <mergeCell ref="C15:P15"/>
    <mergeCell ref="O33:P33"/>
    <mergeCell ref="G36:H36"/>
    <mergeCell ref="L45:N45"/>
    <mergeCell ref="G57:H57"/>
    <mergeCell ref="O41:P41"/>
    <mergeCell ref="O35:P35"/>
    <mergeCell ref="B36:C36"/>
    <mergeCell ref="L43:N43"/>
    <mergeCell ref="I75:J75"/>
    <mergeCell ref="G6:H6"/>
    <mergeCell ref="K2:P2"/>
    <mergeCell ref="A89:B89"/>
    <mergeCell ref="E40:F40"/>
    <mergeCell ref="A105:B105"/>
    <mergeCell ref="E104:F104"/>
    <mergeCell ref="G33:H33"/>
    <mergeCell ref="B37:C37"/>
    <mergeCell ref="M64:P64"/>
    <mergeCell ref="A8:B8"/>
    <mergeCell ref="G35:H35"/>
    <mergeCell ref="A100:B100"/>
    <mergeCell ref="M65:P65"/>
    <mergeCell ref="A10:B10"/>
    <mergeCell ref="L37:N37"/>
    <mergeCell ref="K66:L66"/>
    <mergeCell ref="A102:B102"/>
    <mergeCell ref="A21:P21"/>
    <mergeCell ref="I74:J74"/>
    <mergeCell ref="K74:L74"/>
    <mergeCell ref="K68:L68"/>
    <mergeCell ref="A32:P32"/>
    <mergeCell ref="A2:B3"/>
    <mergeCell ref="B71:C71"/>
    <mergeCell ref="B58:C58"/>
    <mergeCell ref="E109:F109"/>
    <mergeCell ref="E47:F47"/>
    <mergeCell ref="G72:H72"/>
    <mergeCell ref="M61:P61"/>
    <mergeCell ref="B77:C77"/>
    <mergeCell ref="A7:B7"/>
    <mergeCell ref="A99:B99"/>
    <mergeCell ref="I71:J71"/>
    <mergeCell ref="I58:J58"/>
    <mergeCell ref="K58:L58"/>
    <mergeCell ref="A101:B101"/>
    <mergeCell ref="I83:J83"/>
    <mergeCell ref="B49:C49"/>
    <mergeCell ref="E91:F91"/>
    <mergeCell ref="G85:H85"/>
    <mergeCell ref="G84:H84"/>
    <mergeCell ref="B63:C63"/>
    <mergeCell ref="E93:F93"/>
    <mergeCell ref="I84:J84"/>
    <mergeCell ref="K78:L78"/>
    <mergeCell ref="G86:H86"/>
    <mergeCell ref="E88:F88"/>
    <mergeCell ref="G82:H82"/>
    <mergeCell ref="M66:P66"/>
    <mergeCell ref="O5:P6"/>
    <mergeCell ref="K70:L70"/>
    <mergeCell ref="I78:J78"/>
    <mergeCell ref="E37:F37"/>
    <mergeCell ref="I86:J86"/>
    <mergeCell ref="I80:J80"/>
    <mergeCell ref="G29:J29"/>
    <mergeCell ref="K80:L80"/>
    <mergeCell ref="M62:P62"/>
    <mergeCell ref="C18:P20"/>
    <mergeCell ref="L51:N51"/>
    <mergeCell ref="E30:P30"/>
    <mergeCell ref="K79:L79"/>
    <mergeCell ref="B52:C52"/>
    <mergeCell ref="I26:P26"/>
    <mergeCell ref="B69:C69"/>
    <mergeCell ref="L46:N46"/>
    <mergeCell ref="M7:N7"/>
    <mergeCell ref="A15:B15"/>
    <mergeCell ref="L42:N42"/>
    <mergeCell ref="C22:P22"/>
    <mergeCell ref="L36:N36"/>
    <mergeCell ref="G65:H65"/>
    <mergeCell ref="G60:H60"/>
    <mergeCell ref="A1:P1"/>
    <mergeCell ref="A31:C31"/>
    <mergeCell ref="O51:P51"/>
    <mergeCell ref="B84:C84"/>
    <mergeCell ref="E110:F110"/>
    <mergeCell ref="C12:P14"/>
    <mergeCell ref="G76:H76"/>
    <mergeCell ref="B80:C80"/>
    <mergeCell ref="I59:J59"/>
    <mergeCell ref="B79:C79"/>
    <mergeCell ref="B81:C81"/>
    <mergeCell ref="A4:P4"/>
    <mergeCell ref="E92:F92"/>
    <mergeCell ref="K29:L29"/>
    <mergeCell ref="E29:F29"/>
    <mergeCell ref="E94:F94"/>
    <mergeCell ref="C10:P10"/>
    <mergeCell ref="L40:N40"/>
    <mergeCell ref="G69:H69"/>
    <mergeCell ref="E31:F31"/>
    <mergeCell ref="E108:F108"/>
    <mergeCell ref="I62:J62"/>
    <mergeCell ref="B34:C34"/>
    <mergeCell ref="C25:H25"/>
    <mergeCell ref="A111:I111"/>
    <mergeCell ref="M82:P82"/>
    <mergeCell ref="O40:P40"/>
    <mergeCell ref="L47:N47"/>
    <mergeCell ref="E53:F53"/>
    <mergeCell ref="G59:H59"/>
    <mergeCell ref="M85:P85"/>
    <mergeCell ref="A103:B103"/>
    <mergeCell ref="G67:H67"/>
    <mergeCell ref="G61:H61"/>
    <mergeCell ref="E48:F48"/>
    <mergeCell ref="I61:J61"/>
    <mergeCell ref="O45:P45"/>
    <mergeCell ref="G48:H48"/>
    <mergeCell ref="L50:N50"/>
    <mergeCell ref="G62:H62"/>
    <mergeCell ref="B53:C53"/>
    <mergeCell ref="I56:J56"/>
    <mergeCell ref="L52:N52"/>
    <mergeCell ref="K56:L56"/>
    <mergeCell ref="O46:P46"/>
    <mergeCell ref="E95:F95"/>
    <mergeCell ref="E89:F89"/>
    <mergeCell ref="G64:H64"/>
    <mergeCell ref="A107:B107"/>
    <mergeCell ref="G71:H71"/>
    <mergeCell ref="M72:P72"/>
    <mergeCell ref="A28:P28"/>
    <mergeCell ref="K81:L81"/>
    <mergeCell ref="M59:P59"/>
    <mergeCell ref="G66:H66"/>
    <mergeCell ref="I66:J66"/>
    <mergeCell ref="B78:C78"/>
    <mergeCell ref="G68:H68"/>
    <mergeCell ref="A29:C29"/>
    <mergeCell ref="I64:J64"/>
    <mergeCell ref="O48:P48"/>
    <mergeCell ref="G51:H51"/>
    <mergeCell ref="M75:P75"/>
    <mergeCell ref="B76:C76"/>
    <mergeCell ref="L53:N53"/>
    <mergeCell ref="K57:L57"/>
    <mergeCell ref="I65:J65"/>
    <mergeCell ref="E42:F42"/>
    <mergeCell ref="E90:F90"/>
    <mergeCell ref="A87:P87"/>
    <mergeCell ref="I60:J60"/>
    <mergeCell ref="B72:C72"/>
  </mergeCells>
  <phoneticPr fontId="39" type="noConversion"/>
  <conditionalFormatting sqref="P96">
    <cfRule type="cellIs" dxfId="6" priority="2" operator="notEqual">
      <formula>$J$89</formula>
    </cfRule>
  </conditionalFormatting>
  <conditionalFormatting sqref="P89:P95 P97:P111">
    <cfRule type="cellIs" dxfId="5" priority="3" operator="notEqual">
      <formula>$J89</formula>
    </cfRule>
  </conditionalFormatting>
  <dataValidations count="8">
    <dataValidation type="list" allowBlank="1" showInputMessage="1" showErrorMessage="1" sqref="C89:C110" xr:uid="{00000000-0002-0000-0500-000000000000}">
      <formula1>Health_WellBeing_Activity</formula1>
      <formula2>0</formula2>
    </dataValidation>
    <dataValidation type="list" allowBlank="1" showInputMessage="1" showErrorMessage="1" sqref="A89:B110" xr:uid="{00000000-0002-0000-0500-000001000000}">
      <formula1>Health_WellBeing_Output</formula1>
      <formula2>0</formula2>
    </dataValidation>
    <dataValidation type="list" allowBlank="1" showInputMessage="1" showErrorMessage="1" sqref="E29:G29" xr:uid="{00000000-0002-0000-0500-000002000000}">
      <formula1>"Gender,Disaster risk management ,Others"</formula1>
      <formula2>0</formula2>
    </dataValidation>
    <dataValidation type="list" allowBlank="1" showInputMessage="1" showErrorMessage="1" sqref="E22:O23" xr:uid="{00000000-0002-0000-0500-000003000000}">
      <formula1>"O,X"</formula1>
      <formula2>0</formula2>
    </dataValidation>
    <dataValidation type="list" allowBlank="1" showInputMessage="1" sqref="F34:F35" xr:uid="{00000000-0002-0000-0500-000004000000}">
      <formula1>health_outcome_indicator</formula1>
      <formula2>0</formula2>
    </dataValidation>
    <dataValidation type="list" allowBlank="1" showInputMessage="1" sqref="F39:F47" xr:uid="{00000000-0002-0000-0500-000005000000}">
      <formula1>health_output_indicator</formula1>
      <formula2>0</formula2>
    </dataValidation>
    <dataValidation type="list" allowBlank="1" showInputMessage="1" showErrorMessage="1" sqref="E33:E37" xr:uid="{00000000-0002-0000-0500-000006000000}">
      <formula1>health_outcome_indicator</formula1>
      <formula2>0</formula2>
    </dataValidation>
    <dataValidation type="list" allowBlank="1" showInputMessage="1" showErrorMessage="1" sqref="E39:E53" xr:uid="{00000000-0002-0000-0500-000007000000}">
      <formula1>health_output_indicator</formula1>
      <formula2>0</formula2>
    </dataValidation>
  </dataValidations>
  <pageMargins left="0.7" right="0.7" top="0.75" bottom="0.75" header="0.511811023622047" footer="0.511811023622047"/>
  <pageSetup paperSize="9" scale="36" orientation="portrait" horizontalDpi="300" verticalDpi="300" r:id="rId1"/>
  <rowBreaks count="1" manualBreakCount="1">
    <brk id="20"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11"/>
  <sheetViews>
    <sheetView tabSelected="1" view="pageBreakPreview" topLeftCell="B1" zoomScale="85" zoomScaleNormal="100" zoomScaleSheetLayoutView="85" zoomScalePageLayoutView="70" workbookViewId="0">
      <selection activeCell="E55" sqref="E55:L55"/>
    </sheetView>
  </sheetViews>
  <sheetFormatPr defaultColWidth="8.69921875" defaultRowHeight="13.8" outlineLevelRow="1"/>
  <cols>
    <col min="1" max="1" width="6.69921875" style="71" customWidth="1"/>
    <col min="2" max="2" width="25.3984375" style="23" customWidth="1"/>
    <col min="3" max="3" width="33.59765625" style="71" customWidth="1"/>
    <col min="4" max="4" width="7.19921875" style="71" hidden="1" customWidth="1"/>
    <col min="5" max="5" width="30.3984375" style="71" customWidth="1"/>
    <col min="6" max="6" width="21.796875" style="71" customWidth="1"/>
    <col min="7" max="7" width="15.19921875" style="71" customWidth="1"/>
    <col min="8" max="8" width="17" style="71" customWidth="1"/>
    <col min="9" max="16" width="13.19921875" style="71" customWidth="1"/>
    <col min="17" max="18" width="8.69921875" style="71" customWidth="1"/>
    <col min="19" max="16384" width="8.69921875" style="71"/>
  </cols>
  <sheetData>
    <row r="1" spans="1:16" ht="19.5" customHeight="1">
      <c r="A1" s="229" t="s">
        <v>230</v>
      </c>
      <c r="B1" s="178"/>
      <c r="C1" s="178"/>
      <c r="D1" s="178"/>
      <c r="E1" s="178"/>
      <c r="F1" s="178"/>
      <c r="G1" s="178"/>
      <c r="H1" s="178"/>
      <c r="I1" s="178"/>
      <c r="J1" s="178"/>
      <c r="K1" s="178"/>
      <c r="L1" s="178"/>
      <c r="M1" s="178"/>
      <c r="N1" s="178"/>
      <c r="O1" s="178"/>
      <c r="P1" s="179"/>
    </row>
    <row r="2" spans="1:16" ht="19.5" customHeight="1" outlineLevel="1">
      <c r="A2" s="232" t="s">
        <v>74</v>
      </c>
      <c r="B2" s="208"/>
      <c r="C2" s="87" t="s">
        <v>75</v>
      </c>
      <c r="D2" s="87"/>
      <c r="E2" s="205"/>
      <c r="F2" s="178"/>
      <c r="G2" s="178"/>
      <c r="H2" s="179"/>
      <c r="I2" s="215" t="s">
        <v>76</v>
      </c>
      <c r="J2" s="179"/>
      <c r="K2" s="234"/>
      <c r="L2" s="178"/>
      <c r="M2" s="178"/>
      <c r="N2" s="178"/>
      <c r="O2" s="178"/>
      <c r="P2" s="179"/>
    </row>
    <row r="3" spans="1:16" ht="19.5" customHeight="1" outlineLevel="1">
      <c r="A3" s="210"/>
      <c r="B3" s="212"/>
      <c r="C3" s="87" t="s">
        <v>77</v>
      </c>
      <c r="D3" s="87"/>
      <c r="E3" s="205"/>
      <c r="F3" s="178"/>
      <c r="G3" s="178"/>
      <c r="H3" s="179"/>
      <c r="I3" s="215" t="s">
        <v>78</v>
      </c>
      <c r="J3" s="179"/>
      <c r="K3" s="234"/>
      <c r="L3" s="178"/>
      <c r="M3" s="178"/>
      <c r="N3" s="178"/>
      <c r="O3" s="178"/>
      <c r="P3" s="179"/>
    </row>
    <row r="4" spans="1:16" ht="19.5" customHeight="1" outlineLevel="1">
      <c r="A4" s="204" t="s">
        <v>79</v>
      </c>
      <c r="B4" s="178"/>
      <c r="C4" s="178"/>
      <c r="D4" s="178"/>
      <c r="E4" s="178"/>
      <c r="F4" s="178"/>
      <c r="G4" s="178"/>
      <c r="H4" s="178"/>
      <c r="I4" s="178"/>
      <c r="J4" s="178"/>
      <c r="K4" s="178"/>
      <c r="L4" s="178"/>
      <c r="M4" s="178"/>
      <c r="N4" s="178"/>
      <c r="O4" s="178"/>
      <c r="P4" s="179"/>
    </row>
    <row r="5" spans="1:16" ht="31.5" customHeight="1" outlineLevel="1">
      <c r="A5" s="237"/>
      <c r="B5" s="179"/>
      <c r="C5" s="119" t="s">
        <v>231</v>
      </c>
      <c r="D5" s="130"/>
      <c r="E5" s="119" t="s">
        <v>232</v>
      </c>
      <c r="F5" s="119" t="s">
        <v>233</v>
      </c>
      <c r="G5" s="295" t="s">
        <v>234</v>
      </c>
      <c r="H5" s="178"/>
      <c r="I5" s="178"/>
      <c r="J5" s="178"/>
      <c r="K5" s="178"/>
      <c r="L5" s="179"/>
      <c r="M5" s="225" t="s">
        <v>235</v>
      </c>
      <c r="N5" s="179"/>
      <c r="O5" s="225" t="s">
        <v>88</v>
      </c>
      <c r="P5" s="179"/>
    </row>
    <row r="6" spans="1:16" ht="28.5" customHeight="1" outlineLevel="1">
      <c r="A6" s="241" t="s">
        <v>37</v>
      </c>
      <c r="B6" s="179"/>
      <c r="C6" s="131"/>
      <c r="D6" s="120"/>
      <c r="E6" s="241"/>
      <c r="F6" s="241"/>
      <c r="G6" s="241"/>
      <c r="H6" s="208"/>
      <c r="I6" s="241"/>
      <c r="J6" s="208"/>
      <c r="K6" s="241"/>
      <c r="L6" s="208"/>
      <c r="M6" s="296"/>
      <c r="N6" s="208"/>
      <c r="O6" s="241"/>
      <c r="P6" s="208"/>
    </row>
    <row r="7" spans="1:16" ht="28.5" customHeight="1" outlineLevel="1">
      <c r="A7" s="241" t="s">
        <v>38</v>
      </c>
      <c r="B7" s="179"/>
      <c r="C7" s="84"/>
      <c r="D7" s="120"/>
      <c r="E7" s="194"/>
      <c r="F7" s="194"/>
      <c r="G7" s="210"/>
      <c r="H7" s="212"/>
      <c r="I7" s="210"/>
      <c r="J7" s="212"/>
      <c r="K7" s="210"/>
      <c r="L7" s="212"/>
      <c r="M7" s="210"/>
      <c r="N7" s="212"/>
      <c r="O7" s="210"/>
      <c r="P7" s="212"/>
    </row>
    <row r="8" spans="1:16" ht="58.2" customHeight="1" outlineLevel="1">
      <c r="A8" s="233" t="s">
        <v>89</v>
      </c>
      <c r="B8" s="179"/>
      <c r="C8" s="236" t="s">
        <v>90</v>
      </c>
      <c r="D8" s="178"/>
      <c r="E8" s="178"/>
      <c r="F8" s="178"/>
      <c r="G8" s="178"/>
      <c r="H8" s="178"/>
      <c r="I8" s="178"/>
      <c r="J8" s="178"/>
      <c r="K8" s="178"/>
      <c r="L8" s="178"/>
      <c r="M8" s="178"/>
      <c r="N8" s="178"/>
      <c r="O8" s="178"/>
      <c r="P8" s="179"/>
    </row>
    <row r="9" spans="1:16" ht="19.5" customHeight="1" outlineLevel="1">
      <c r="A9" s="204" t="s">
        <v>91</v>
      </c>
      <c r="B9" s="178"/>
      <c r="C9" s="178"/>
      <c r="D9" s="178"/>
      <c r="E9" s="178"/>
      <c r="F9" s="178"/>
      <c r="G9" s="178"/>
      <c r="H9" s="178"/>
      <c r="I9" s="178"/>
      <c r="J9" s="178"/>
      <c r="K9" s="178"/>
      <c r="L9" s="178"/>
      <c r="M9" s="178"/>
      <c r="N9" s="178"/>
      <c r="O9" s="178"/>
      <c r="P9" s="179"/>
    </row>
    <row r="10" spans="1:16" ht="129.75" customHeight="1" outlineLevel="1">
      <c r="A10" s="232" t="s">
        <v>236</v>
      </c>
      <c r="B10" s="179"/>
      <c r="C10" s="246" t="s">
        <v>237</v>
      </c>
      <c r="D10" s="178"/>
      <c r="E10" s="178"/>
      <c r="F10" s="178"/>
      <c r="G10" s="178"/>
      <c r="H10" s="178"/>
      <c r="I10" s="178"/>
      <c r="J10" s="178"/>
      <c r="K10" s="178"/>
      <c r="L10" s="178"/>
      <c r="M10" s="178"/>
      <c r="N10" s="178"/>
      <c r="O10" s="178"/>
      <c r="P10" s="179"/>
    </row>
    <row r="11" spans="1:16" ht="19.5" customHeight="1" outlineLevel="1">
      <c r="A11" s="235" t="s">
        <v>94</v>
      </c>
      <c r="B11" s="178"/>
      <c r="C11" s="178"/>
      <c r="D11" s="178"/>
      <c r="E11" s="178"/>
      <c r="F11" s="178"/>
      <c r="G11" s="178"/>
      <c r="H11" s="178"/>
      <c r="I11" s="178"/>
      <c r="J11" s="178"/>
      <c r="K11" s="178"/>
      <c r="L11" s="178"/>
      <c r="M11" s="178"/>
      <c r="N11" s="178"/>
      <c r="O11" s="178"/>
      <c r="P11" s="179"/>
    </row>
    <row r="12" spans="1:16" ht="99.75" customHeight="1" outlineLevel="1">
      <c r="A12" s="215" t="s">
        <v>95</v>
      </c>
      <c r="B12" s="179"/>
      <c r="C12" s="195" t="s">
        <v>96</v>
      </c>
      <c r="D12" s="207"/>
      <c r="E12" s="207"/>
      <c r="F12" s="207"/>
      <c r="G12" s="207"/>
      <c r="H12" s="207"/>
      <c r="I12" s="207"/>
      <c r="J12" s="207"/>
      <c r="K12" s="207"/>
      <c r="L12" s="207"/>
      <c r="M12" s="207"/>
      <c r="N12" s="207"/>
      <c r="O12" s="207"/>
      <c r="P12" s="208"/>
    </row>
    <row r="13" spans="1:16" ht="99.75" customHeight="1" outlineLevel="1">
      <c r="A13" s="215" t="s">
        <v>97</v>
      </c>
      <c r="B13" s="179"/>
      <c r="C13" s="209"/>
      <c r="D13" s="186"/>
      <c r="E13" s="186"/>
      <c r="F13" s="186"/>
      <c r="G13" s="186"/>
      <c r="H13" s="186"/>
      <c r="I13" s="186"/>
      <c r="J13" s="186"/>
      <c r="K13" s="186"/>
      <c r="L13" s="186"/>
      <c r="M13" s="186"/>
      <c r="N13" s="186"/>
      <c r="O13" s="186"/>
      <c r="P13" s="176"/>
    </row>
    <row r="14" spans="1:16" ht="113.25" customHeight="1" outlineLevel="1">
      <c r="A14" s="215" t="s">
        <v>98</v>
      </c>
      <c r="B14" s="179"/>
      <c r="C14" s="210"/>
      <c r="D14" s="211"/>
      <c r="E14" s="211"/>
      <c r="F14" s="211"/>
      <c r="G14" s="211"/>
      <c r="H14" s="211"/>
      <c r="I14" s="211"/>
      <c r="J14" s="211"/>
      <c r="K14" s="211"/>
      <c r="L14" s="211"/>
      <c r="M14" s="211"/>
      <c r="N14" s="211"/>
      <c r="O14" s="211"/>
      <c r="P14" s="212"/>
    </row>
    <row r="15" spans="1:16" ht="231" customHeight="1" outlineLevel="1">
      <c r="A15" s="247" t="s">
        <v>99</v>
      </c>
      <c r="B15" s="208"/>
      <c r="C15" s="220" t="s">
        <v>100</v>
      </c>
      <c r="D15" s="207"/>
      <c r="E15" s="207"/>
      <c r="F15" s="207"/>
      <c r="G15" s="207"/>
      <c r="H15" s="207"/>
      <c r="I15" s="207"/>
      <c r="J15" s="207"/>
      <c r="K15" s="207"/>
      <c r="L15" s="207"/>
      <c r="M15" s="207"/>
      <c r="N15" s="207"/>
      <c r="O15" s="207"/>
      <c r="P15" s="208"/>
    </row>
    <row r="16" spans="1:16" ht="231" customHeight="1" outlineLevel="1">
      <c r="A16" s="245" t="s">
        <v>101</v>
      </c>
      <c r="B16" s="179"/>
      <c r="C16" s="242" t="s">
        <v>102</v>
      </c>
      <c r="D16" s="178"/>
      <c r="E16" s="178"/>
      <c r="F16" s="178"/>
      <c r="G16" s="178"/>
      <c r="H16" s="178"/>
      <c r="I16" s="178"/>
      <c r="J16" s="178"/>
      <c r="K16" s="178"/>
      <c r="L16" s="178"/>
      <c r="M16" s="178"/>
      <c r="N16" s="178"/>
      <c r="O16" s="178"/>
      <c r="P16" s="179"/>
    </row>
    <row r="17" spans="1:16" ht="19.5" customHeight="1" outlineLevel="1">
      <c r="A17" s="235" t="s">
        <v>103</v>
      </c>
      <c r="B17" s="178"/>
      <c r="C17" s="178"/>
      <c r="D17" s="178"/>
      <c r="E17" s="178"/>
      <c r="F17" s="178"/>
      <c r="G17" s="178"/>
      <c r="H17" s="178"/>
      <c r="I17" s="178"/>
      <c r="J17" s="178"/>
      <c r="K17" s="178"/>
      <c r="L17" s="178"/>
      <c r="M17" s="178"/>
      <c r="N17" s="178"/>
      <c r="O17" s="178"/>
      <c r="P17" s="179"/>
    </row>
    <row r="18" spans="1:16" ht="99.75" customHeight="1" outlineLevel="1">
      <c r="A18" s="215" t="s">
        <v>104</v>
      </c>
      <c r="B18" s="179"/>
      <c r="C18" s="195" t="s">
        <v>105</v>
      </c>
      <c r="D18" s="207"/>
      <c r="E18" s="207"/>
      <c r="F18" s="207"/>
      <c r="G18" s="207"/>
      <c r="H18" s="207"/>
      <c r="I18" s="207"/>
      <c r="J18" s="207"/>
      <c r="K18" s="207"/>
      <c r="L18" s="207"/>
      <c r="M18" s="207"/>
      <c r="N18" s="207"/>
      <c r="O18" s="207"/>
      <c r="P18" s="208"/>
    </row>
    <row r="19" spans="1:16" ht="111" customHeight="1" outlineLevel="1">
      <c r="A19" s="215" t="s">
        <v>106</v>
      </c>
      <c r="B19" s="179"/>
      <c r="C19" s="209"/>
      <c r="D19" s="186"/>
      <c r="E19" s="186"/>
      <c r="F19" s="186"/>
      <c r="G19" s="186"/>
      <c r="H19" s="186"/>
      <c r="I19" s="186"/>
      <c r="J19" s="186"/>
      <c r="K19" s="186"/>
      <c r="L19" s="186"/>
      <c r="M19" s="186"/>
      <c r="N19" s="186"/>
      <c r="O19" s="186"/>
      <c r="P19" s="176"/>
    </row>
    <row r="20" spans="1:16" ht="123" customHeight="1" outlineLevel="1">
      <c r="A20" s="215" t="s">
        <v>107</v>
      </c>
      <c r="B20" s="179"/>
      <c r="C20" s="210"/>
      <c r="D20" s="211"/>
      <c r="E20" s="211"/>
      <c r="F20" s="211"/>
      <c r="G20" s="211"/>
      <c r="H20" s="211"/>
      <c r="I20" s="211"/>
      <c r="J20" s="211"/>
      <c r="K20" s="211"/>
      <c r="L20" s="211"/>
      <c r="M20" s="211"/>
      <c r="N20" s="211"/>
      <c r="O20" s="211"/>
      <c r="P20" s="212"/>
    </row>
    <row r="21" spans="1:16" ht="19.5" customHeight="1">
      <c r="A21" s="235" t="s">
        <v>108</v>
      </c>
      <c r="B21" s="178"/>
      <c r="C21" s="178"/>
      <c r="D21" s="178"/>
      <c r="E21" s="178"/>
      <c r="F21" s="178"/>
      <c r="G21" s="178"/>
      <c r="H21" s="178"/>
      <c r="I21" s="178"/>
      <c r="J21" s="178"/>
      <c r="K21" s="178"/>
      <c r="L21" s="178"/>
      <c r="M21" s="178"/>
      <c r="N21" s="178"/>
      <c r="O21" s="178"/>
      <c r="P21" s="179"/>
    </row>
    <row r="22" spans="1:16" ht="19.5" customHeight="1">
      <c r="A22" s="232" t="s">
        <v>109</v>
      </c>
      <c r="B22" s="208"/>
      <c r="C22" s="215" t="s">
        <v>110</v>
      </c>
      <c r="D22" s="178"/>
      <c r="E22" s="178"/>
      <c r="F22" s="178"/>
      <c r="G22" s="178"/>
      <c r="H22" s="178"/>
      <c r="I22" s="178"/>
      <c r="J22" s="178"/>
      <c r="K22" s="178"/>
      <c r="L22" s="178"/>
      <c r="M22" s="178"/>
      <c r="N22" s="178"/>
      <c r="O22" s="178"/>
      <c r="P22" s="179"/>
    </row>
    <row r="23" spans="1:16" ht="19.5" customHeight="1">
      <c r="A23" s="209"/>
      <c r="B23" s="176"/>
      <c r="C23" s="226"/>
      <c r="D23" s="178"/>
      <c r="E23" s="178"/>
      <c r="F23" s="178"/>
      <c r="G23" s="178"/>
      <c r="H23" s="178"/>
      <c r="I23" s="178"/>
      <c r="J23" s="178"/>
      <c r="K23" s="178"/>
      <c r="L23" s="178"/>
      <c r="M23" s="178"/>
      <c r="N23" s="178"/>
      <c r="O23" s="178"/>
      <c r="P23" s="179"/>
    </row>
    <row r="24" spans="1:16" ht="19.5" customHeight="1">
      <c r="A24" s="209"/>
      <c r="B24" s="176"/>
      <c r="C24" s="215" t="s">
        <v>111</v>
      </c>
      <c r="D24" s="178"/>
      <c r="E24" s="178"/>
      <c r="F24" s="178"/>
      <c r="G24" s="178"/>
      <c r="H24" s="179"/>
      <c r="I24" s="215" t="s">
        <v>112</v>
      </c>
      <c r="J24" s="178"/>
      <c r="K24" s="178"/>
      <c r="L24" s="178"/>
      <c r="M24" s="178"/>
      <c r="N24" s="178"/>
      <c r="O24" s="178"/>
      <c r="P24" s="179"/>
    </row>
    <row r="25" spans="1:16" ht="19.5" customHeight="1">
      <c r="A25" s="209"/>
      <c r="B25" s="176"/>
      <c r="C25" s="231"/>
      <c r="D25" s="178"/>
      <c r="E25" s="178"/>
      <c r="F25" s="178"/>
      <c r="G25" s="178"/>
      <c r="H25" s="179"/>
      <c r="I25" s="226"/>
      <c r="J25" s="178"/>
      <c r="K25" s="178"/>
      <c r="L25" s="178"/>
      <c r="M25" s="178"/>
      <c r="N25" s="178"/>
      <c r="O25" s="178"/>
      <c r="P25" s="179"/>
    </row>
    <row r="26" spans="1:16" ht="19.5" customHeight="1">
      <c r="A26" s="209"/>
      <c r="B26" s="176"/>
      <c r="C26" s="231"/>
      <c r="D26" s="178"/>
      <c r="E26" s="178"/>
      <c r="F26" s="178"/>
      <c r="G26" s="178"/>
      <c r="H26" s="179"/>
      <c r="I26" s="226"/>
      <c r="J26" s="178"/>
      <c r="K26" s="178"/>
      <c r="L26" s="178"/>
      <c r="M26" s="178"/>
      <c r="N26" s="178"/>
      <c r="O26" s="178"/>
      <c r="P26" s="179"/>
    </row>
    <row r="27" spans="1:16" ht="19.5" customHeight="1">
      <c r="A27" s="210"/>
      <c r="B27" s="212"/>
      <c r="C27" s="231"/>
      <c r="D27" s="178"/>
      <c r="E27" s="178"/>
      <c r="F27" s="178"/>
      <c r="G27" s="178"/>
      <c r="H27" s="179"/>
      <c r="I27" s="226"/>
      <c r="J27" s="178"/>
      <c r="K27" s="178"/>
      <c r="L27" s="178"/>
      <c r="M27" s="178"/>
      <c r="N27" s="178"/>
      <c r="O27" s="178"/>
      <c r="P27" s="179"/>
    </row>
    <row r="28" spans="1:16" ht="19.5" customHeight="1">
      <c r="A28" s="204" t="s">
        <v>113</v>
      </c>
      <c r="B28" s="178"/>
      <c r="C28" s="178"/>
      <c r="D28" s="178"/>
      <c r="E28" s="178"/>
      <c r="F28" s="178"/>
      <c r="G28" s="178"/>
      <c r="H28" s="178"/>
      <c r="I28" s="178"/>
      <c r="J28" s="178"/>
      <c r="K28" s="178"/>
      <c r="L28" s="178"/>
      <c r="M28" s="178"/>
      <c r="N28" s="178"/>
      <c r="O28" s="178"/>
      <c r="P28" s="179"/>
    </row>
    <row r="29" spans="1:16" ht="20.25" customHeight="1">
      <c r="A29" s="215" t="s">
        <v>114</v>
      </c>
      <c r="B29" s="178"/>
      <c r="C29" s="179"/>
      <c r="D29" s="79"/>
      <c r="E29" s="231"/>
      <c r="F29" s="179"/>
      <c r="G29" s="231"/>
      <c r="H29" s="178"/>
      <c r="I29" s="178"/>
      <c r="J29" s="179"/>
      <c r="K29" s="215" t="s">
        <v>88</v>
      </c>
      <c r="L29" s="179"/>
      <c r="M29" s="238"/>
      <c r="N29" s="178"/>
      <c r="O29" s="178"/>
      <c r="P29" s="179"/>
    </row>
    <row r="30" spans="1:16" ht="20.25" customHeight="1">
      <c r="A30" s="215" t="s">
        <v>115</v>
      </c>
      <c r="B30" s="178"/>
      <c r="C30" s="179"/>
      <c r="D30" s="79"/>
      <c r="E30" s="215" t="s">
        <v>116</v>
      </c>
      <c r="F30" s="178"/>
      <c r="G30" s="178"/>
      <c r="H30" s="178"/>
      <c r="I30" s="178"/>
      <c r="J30" s="178"/>
      <c r="K30" s="178"/>
      <c r="L30" s="178"/>
      <c r="M30" s="178"/>
      <c r="N30" s="178"/>
      <c r="O30" s="178"/>
      <c r="P30" s="179"/>
    </row>
    <row r="31" spans="1:16" ht="19.5" customHeight="1">
      <c r="A31" s="227" t="s">
        <v>117</v>
      </c>
      <c r="B31" s="178"/>
      <c r="C31" s="179"/>
      <c r="D31" s="85"/>
      <c r="E31" s="227" t="s">
        <v>118</v>
      </c>
      <c r="F31" s="179"/>
      <c r="G31" s="200" t="s">
        <v>119</v>
      </c>
      <c r="H31" s="179"/>
      <c r="I31" s="85" t="s">
        <v>120</v>
      </c>
      <c r="J31" s="85" t="s">
        <v>121</v>
      </c>
      <c r="K31" s="85" t="s">
        <v>122</v>
      </c>
      <c r="L31" s="227" t="s">
        <v>123</v>
      </c>
      <c r="M31" s="178"/>
      <c r="N31" s="179"/>
      <c r="O31" s="227" t="s">
        <v>124</v>
      </c>
      <c r="P31" s="179"/>
    </row>
    <row r="32" spans="1:16" ht="19.5" customHeight="1">
      <c r="A32" s="239" t="s">
        <v>125</v>
      </c>
      <c r="B32" s="178"/>
      <c r="C32" s="178"/>
      <c r="D32" s="178"/>
      <c r="E32" s="178"/>
      <c r="F32" s="178"/>
      <c r="G32" s="178"/>
      <c r="H32" s="178"/>
      <c r="I32" s="178"/>
      <c r="J32" s="178"/>
      <c r="K32" s="178"/>
      <c r="L32" s="178"/>
      <c r="M32" s="178"/>
      <c r="N32" s="178"/>
      <c r="O32" s="178"/>
      <c r="P32" s="179"/>
    </row>
    <row r="33" spans="1:16" ht="19.5" customHeight="1">
      <c r="A33" s="26" t="s">
        <v>126</v>
      </c>
      <c r="B33" s="202"/>
      <c r="C33" s="179"/>
      <c r="D33" s="81"/>
      <c r="E33" s="202"/>
      <c r="F33" s="179"/>
      <c r="G33" s="202"/>
      <c r="H33" s="179"/>
      <c r="I33" s="84"/>
      <c r="J33" s="84"/>
      <c r="K33" s="84"/>
      <c r="L33" s="224"/>
      <c r="M33" s="178"/>
      <c r="N33" s="179"/>
      <c r="O33" s="202"/>
      <c r="P33" s="179"/>
    </row>
    <row r="34" spans="1:16" ht="19.5" customHeight="1">
      <c r="A34" s="26" t="s">
        <v>127</v>
      </c>
      <c r="B34" s="202"/>
      <c r="C34" s="179"/>
      <c r="D34" s="81"/>
      <c r="E34" s="202"/>
      <c r="F34" s="179"/>
      <c r="G34" s="202"/>
      <c r="H34" s="179"/>
      <c r="I34" s="84"/>
      <c r="J34" s="84"/>
      <c r="K34" s="84"/>
      <c r="L34" s="224"/>
      <c r="M34" s="178"/>
      <c r="N34" s="179"/>
      <c r="O34" s="202"/>
      <c r="P34" s="179"/>
    </row>
    <row r="35" spans="1:16" ht="19.5" customHeight="1">
      <c r="A35" s="26" t="s">
        <v>128</v>
      </c>
      <c r="B35" s="202"/>
      <c r="C35" s="179"/>
      <c r="D35" s="81"/>
      <c r="E35" s="202"/>
      <c r="F35" s="179"/>
      <c r="G35" s="202"/>
      <c r="H35" s="179"/>
      <c r="I35" s="84"/>
      <c r="J35" s="84"/>
      <c r="K35" s="84"/>
      <c r="L35" s="224"/>
      <c r="M35" s="178"/>
      <c r="N35" s="179"/>
      <c r="O35" s="202"/>
      <c r="P35" s="179"/>
    </row>
    <row r="36" spans="1:16" ht="19.5" customHeight="1">
      <c r="A36" s="26" t="s">
        <v>129</v>
      </c>
      <c r="B36" s="202"/>
      <c r="C36" s="179"/>
      <c r="D36" s="81"/>
      <c r="E36" s="202"/>
      <c r="F36" s="179"/>
      <c r="G36" s="202"/>
      <c r="H36" s="179"/>
      <c r="I36" s="84"/>
      <c r="J36" s="84"/>
      <c r="K36" s="84"/>
      <c r="L36" s="224"/>
      <c r="M36" s="178"/>
      <c r="N36" s="179"/>
      <c r="O36" s="202"/>
      <c r="P36" s="179"/>
    </row>
    <row r="37" spans="1:16" ht="19.5" customHeight="1">
      <c r="A37" s="26" t="s">
        <v>130</v>
      </c>
      <c r="B37" s="202"/>
      <c r="C37" s="179"/>
      <c r="D37" s="81"/>
      <c r="E37" s="202"/>
      <c r="F37" s="179"/>
      <c r="G37" s="202"/>
      <c r="H37" s="179"/>
      <c r="I37" s="84"/>
      <c r="J37" s="84"/>
      <c r="K37" s="84"/>
      <c r="L37" s="224"/>
      <c r="M37" s="178"/>
      <c r="N37" s="179"/>
      <c r="O37" s="202"/>
      <c r="P37" s="179"/>
    </row>
    <row r="38" spans="1:16" ht="19.5" customHeight="1">
      <c r="A38" s="239" t="s">
        <v>131</v>
      </c>
      <c r="B38" s="178"/>
      <c r="C38" s="178"/>
      <c r="D38" s="178"/>
      <c r="E38" s="178"/>
      <c r="F38" s="178"/>
      <c r="G38" s="178"/>
      <c r="H38" s="178"/>
      <c r="I38" s="178"/>
      <c r="J38" s="178"/>
      <c r="K38" s="178"/>
      <c r="L38" s="178"/>
      <c r="M38" s="178"/>
      <c r="N38" s="178"/>
      <c r="O38" s="178"/>
      <c r="P38" s="179"/>
    </row>
    <row r="39" spans="1:16" ht="19.5" customHeight="1">
      <c r="A39" s="26" t="s">
        <v>132</v>
      </c>
      <c r="B39" s="202"/>
      <c r="C39" s="179"/>
      <c r="D39" s="81" t="str">
        <f t="shared" ref="D39:D53" si="0">A39&amp;" "&amp;B39</f>
        <v xml:space="preserve">1.1 </v>
      </c>
      <c r="E39" s="202"/>
      <c r="F39" s="179"/>
      <c r="G39" s="202"/>
      <c r="H39" s="179"/>
      <c r="I39" s="84"/>
      <c r="J39" s="84"/>
      <c r="K39" s="84"/>
      <c r="L39" s="224"/>
      <c r="M39" s="178"/>
      <c r="N39" s="179"/>
      <c r="O39" s="202"/>
      <c r="P39" s="179"/>
    </row>
    <row r="40" spans="1:16" ht="19.5" customHeight="1">
      <c r="A40" s="26" t="s">
        <v>133</v>
      </c>
      <c r="B40" s="202"/>
      <c r="C40" s="179"/>
      <c r="D40" s="81" t="str">
        <f t="shared" si="0"/>
        <v xml:space="preserve">1.2 </v>
      </c>
      <c r="E40" s="202"/>
      <c r="F40" s="179"/>
      <c r="G40" s="202"/>
      <c r="H40" s="179"/>
      <c r="I40" s="84"/>
      <c r="J40" s="84"/>
      <c r="K40" s="84"/>
      <c r="L40" s="224"/>
      <c r="M40" s="178"/>
      <c r="N40" s="179"/>
      <c r="O40" s="202"/>
      <c r="P40" s="179"/>
    </row>
    <row r="41" spans="1:16" ht="19.5" customHeight="1">
      <c r="A41" s="26" t="s">
        <v>134</v>
      </c>
      <c r="B41" s="202"/>
      <c r="C41" s="179"/>
      <c r="D41" s="81" t="str">
        <f t="shared" si="0"/>
        <v xml:space="preserve">1.3 </v>
      </c>
      <c r="E41" s="202"/>
      <c r="F41" s="179"/>
      <c r="G41" s="202"/>
      <c r="H41" s="179"/>
      <c r="I41" s="84"/>
      <c r="J41" s="84"/>
      <c r="K41" s="84"/>
      <c r="L41" s="224"/>
      <c r="M41" s="178"/>
      <c r="N41" s="179"/>
      <c r="O41" s="202"/>
      <c r="P41" s="179"/>
    </row>
    <row r="42" spans="1:16" ht="19.5" customHeight="1">
      <c r="A42" s="26" t="s">
        <v>135</v>
      </c>
      <c r="B42" s="202"/>
      <c r="C42" s="179"/>
      <c r="D42" s="81" t="str">
        <f t="shared" si="0"/>
        <v xml:space="preserve">2.1 </v>
      </c>
      <c r="E42" s="202"/>
      <c r="F42" s="179"/>
      <c r="G42" s="202"/>
      <c r="H42" s="179"/>
      <c r="I42" s="84"/>
      <c r="J42" s="84"/>
      <c r="K42" s="84"/>
      <c r="L42" s="224"/>
      <c r="M42" s="178"/>
      <c r="N42" s="179"/>
      <c r="O42" s="202"/>
      <c r="P42" s="179"/>
    </row>
    <row r="43" spans="1:16" ht="19.5" customHeight="1">
      <c r="A43" s="26" t="s">
        <v>136</v>
      </c>
      <c r="B43" s="202"/>
      <c r="C43" s="179"/>
      <c r="D43" s="81" t="str">
        <f t="shared" si="0"/>
        <v xml:space="preserve">2.2 </v>
      </c>
      <c r="E43" s="202"/>
      <c r="F43" s="179"/>
      <c r="G43" s="202"/>
      <c r="H43" s="179"/>
      <c r="I43" s="84"/>
      <c r="J43" s="84"/>
      <c r="K43" s="84"/>
      <c r="L43" s="224"/>
      <c r="M43" s="178"/>
      <c r="N43" s="179"/>
      <c r="O43" s="202"/>
      <c r="P43" s="179"/>
    </row>
    <row r="44" spans="1:16" ht="19.5" customHeight="1">
      <c r="A44" s="26" t="s">
        <v>137</v>
      </c>
      <c r="B44" s="202"/>
      <c r="C44" s="179"/>
      <c r="D44" s="81" t="str">
        <f t="shared" si="0"/>
        <v xml:space="preserve">2.3 </v>
      </c>
      <c r="E44" s="202"/>
      <c r="F44" s="179"/>
      <c r="G44" s="202"/>
      <c r="H44" s="179"/>
      <c r="I44" s="84"/>
      <c r="J44" s="84"/>
      <c r="K44" s="84"/>
      <c r="L44" s="224"/>
      <c r="M44" s="178"/>
      <c r="N44" s="179"/>
      <c r="O44" s="202"/>
      <c r="P44" s="179"/>
    </row>
    <row r="45" spans="1:16" ht="19.5" customHeight="1">
      <c r="A45" s="26" t="s">
        <v>138</v>
      </c>
      <c r="B45" s="202"/>
      <c r="C45" s="179"/>
      <c r="D45" s="81" t="str">
        <f t="shared" si="0"/>
        <v xml:space="preserve">3.1 </v>
      </c>
      <c r="E45" s="202"/>
      <c r="F45" s="179"/>
      <c r="G45" s="202"/>
      <c r="H45" s="179"/>
      <c r="I45" s="84"/>
      <c r="J45" s="84"/>
      <c r="K45" s="84"/>
      <c r="L45" s="224"/>
      <c r="M45" s="178"/>
      <c r="N45" s="179"/>
      <c r="O45" s="202"/>
      <c r="P45" s="179"/>
    </row>
    <row r="46" spans="1:16" ht="19.5" customHeight="1">
      <c r="A46" s="26" t="s">
        <v>139</v>
      </c>
      <c r="B46" s="202"/>
      <c r="C46" s="179"/>
      <c r="D46" s="81" t="str">
        <f t="shared" si="0"/>
        <v xml:space="preserve">3.2 </v>
      </c>
      <c r="E46" s="202"/>
      <c r="F46" s="179"/>
      <c r="G46" s="202"/>
      <c r="H46" s="179"/>
      <c r="I46" s="84"/>
      <c r="J46" s="84"/>
      <c r="K46" s="84"/>
      <c r="L46" s="224"/>
      <c r="M46" s="178"/>
      <c r="N46" s="179"/>
      <c r="O46" s="202"/>
      <c r="P46" s="179"/>
    </row>
    <row r="47" spans="1:16" ht="19.5" customHeight="1">
      <c r="A47" s="26" t="s">
        <v>140</v>
      </c>
      <c r="B47" s="202"/>
      <c r="C47" s="179"/>
      <c r="D47" s="81" t="str">
        <f t="shared" si="0"/>
        <v xml:space="preserve">3.3 </v>
      </c>
      <c r="E47" s="202"/>
      <c r="F47" s="179"/>
      <c r="G47" s="202"/>
      <c r="H47" s="179"/>
      <c r="I47" s="84"/>
      <c r="J47" s="84"/>
      <c r="K47" s="84"/>
      <c r="L47" s="224"/>
      <c r="M47" s="178"/>
      <c r="N47" s="179"/>
      <c r="O47" s="202"/>
      <c r="P47" s="179"/>
    </row>
    <row r="48" spans="1:16" ht="19.5" customHeight="1">
      <c r="A48" s="26" t="s">
        <v>141</v>
      </c>
      <c r="B48" s="202"/>
      <c r="C48" s="179"/>
      <c r="D48" s="81" t="str">
        <f t="shared" si="0"/>
        <v xml:space="preserve">4.1 </v>
      </c>
      <c r="E48" s="202"/>
      <c r="F48" s="179"/>
      <c r="G48" s="202"/>
      <c r="H48" s="179"/>
      <c r="I48" s="84"/>
      <c r="J48" s="84"/>
      <c r="K48" s="84"/>
      <c r="L48" s="224"/>
      <c r="M48" s="178"/>
      <c r="N48" s="179"/>
      <c r="O48" s="202"/>
      <c r="P48" s="179"/>
    </row>
    <row r="49" spans="1:16" ht="19.5" customHeight="1">
      <c r="A49" s="26" t="s">
        <v>142</v>
      </c>
      <c r="B49" s="202"/>
      <c r="C49" s="179"/>
      <c r="D49" s="81" t="str">
        <f t="shared" si="0"/>
        <v xml:space="preserve">4.2 </v>
      </c>
      <c r="E49" s="202"/>
      <c r="F49" s="179"/>
      <c r="G49" s="202"/>
      <c r="H49" s="179"/>
      <c r="I49" s="84"/>
      <c r="J49" s="84"/>
      <c r="K49" s="84"/>
      <c r="L49" s="224"/>
      <c r="M49" s="178"/>
      <c r="N49" s="179"/>
      <c r="O49" s="202"/>
      <c r="P49" s="179"/>
    </row>
    <row r="50" spans="1:16" ht="19.5" customHeight="1">
      <c r="A50" s="26" t="s">
        <v>143</v>
      </c>
      <c r="B50" s="202"/>
      <c r="C50" s="179"/>
      <c r="D50" s="81" t="str">
        <f t="shared" si="0"/>
        <v xml:space="preserve">4.3 </v>
      </c>
      <c r="E50" s="202"/>
      <c r="F50" s="179"/>
      <c r="G50" s="202"/>
      <c r="H50" s="179"/>
      <c r="I50" s="84"/>
      <c r="J50" s="84"/>
      <c r="K50" s="84"/>
      <c r="L50" s="224"/>
      <c r="M50" s="178"/>
      <c r="N50" s="179"/>
      <c r="O50" s="202"/>
      <c r="P50" s="179"/>
    </row>
    <row r="51" spans="1:16" ht="19.5" customHeight="1">
      <c r="A51" s="26" t="s">
        <v>144</v>
      </c>
      <c r="B51" s="202"/>
      <c r="C51" s="179"/>
      <c r="D51" s="81" t="str">
        <f t="shared" si="0"/>
        <v xml:space="preserve">5.1 </v>
      </c>
      <c r="E51" s="202"/>
      <c r="F51" s="179"/>
      <c r="G51" s="202"/>
      <c r="H51" s="179"/>
      <c r="I51" s="84"/>
      <c r="J51" s="84"/>
      <c r="K51" s="84"/>
      <c r="L51" s="224"/>
      <c r="M51" s="178"/>
      <c r="N51" s="179"/>
      <c r="O51" s="202"/>
      <c r="P51" s="179"/>
    </row>
    <row r="52" spans="1:16" ht="19.5" customHeight="1">
      <c r="A52" s="26" t="s">
        <v>145</v>
      </c>
      <c r="B52" s="202"/>
      <c r="C52" s="179"/>
      <c r="D52" s="81" t="str">
        <f t="shared" si="0"/>
        <v xml:space="preserve">5.2 </v>
      </c>
      <c r="E52" s="202"/>
      <c r="F52" s="179"/>
      <c r="G52" s="202"/>
      <c r="H52" s="179"/>
      <c r="I52" s="84"/>
      <c r="J52" s="84"/>
      <c r="K52" s="84"/>
      <c r="L52" s="224"/>
      <c r="M52" s="178"/>
      <c r="N52" s="179"/>
      <c r="O52" s="202"/>
      <c r="P52" s="179"/>
    </row>
    <row r="53" spans="1:16" ht="19.5" customHeight="1">
      <c r="A53" s="26" t="s">
        <v>146</v>
      </c>
      <c r="B53" s="202"/>
      <c r="C53" s="179"/>
      <c r="D53" s="81" t="str">
        <f t="shared" si="0"/>
        <v xml:space="preserve">5.3 </v>
      </c>
      <c r="E53" s="202"/>
      <c r="F53" s="179"/>
      <c r="G53" s="202"/>
      <c r="H53" s="179"/>
      <c r="I53" s="84"/>
      <c r="J53" s="84"/>
      <c r="K53" s="84"/>
      <c r="L53" s="224"/>
      <c r="M53" s="178"/>
      <c r="N53" s="179"/>
      <c r="O53" s="202"/>
      <c r="P53" s="179"/>
    </row>
    <row r="54" spans="1:16" ht="19.5" customHeight="1">
      <c r="A54" s="204" t="s">
        <v>147</v>
      </c>
      <c r="B54" s="178"/>
      <c r="C54" s="178"/>
      <c r="D54" s="178"/>
      <c r="E54" s="178"/>
      <c r="F54" s="178"/>
      <c r="G54" s="178"/>
      <c r="H54" s="178"/>
      <c r="I54" s="178"/>
      <c r="J54" s="178"/>
      <c r="K54" s="178"/>
      <c r="L54" s="178"/>
      <c r="M54" s="178"/>
      <c r="N54" s="178"/>
      <c r="O54" s="178"/>
      <c r="P54" s="179"/>
    </row>
    <row r="55" spans="1:16" ht="19.5" customHeight="1">
      <c r="A55" s="227" t="s">
        <v>148</v>
      </c>
      <c r="B55" s="207"/>
      <c r="C55" s="208"/>
      <c r="D55" s="85"/>
      <c r="E55" s="227" t="s">
        <v>149</v>
      </c>
      <c r="F55" s="178"/>
      <c r="G55" s="178"/>
      <c r="H55" s="178"/>
      <c r="I55" s="178"/>
      <c r="J55" s="178"/>
      <c r="K55" s="178"/>
      <c r="L55" s="179"/>
      <c r="M55" s="227" t="s">
        <v>88</v>
      </c>
      <c r="N55" s="207"/>
      <c r="O55" s="207"/>
      <c r="P55" s="208"/>
    </row>
    <row r="56" spans="1:16" ht="19.5" customHeight="1">
      <c r="A56" s="210"/>
      <c r="B56" s="211"/>
      <c r="C56" s="212"/>
      <c r="D56" s="85"/>
      <c r="E56" s="85" t="s">
        <v>150</v>
      </c>
      <c r="F56" s="85" t="s">
        <v>151</v>
      </c>
      <c r="G56" s="227" t="s">
        <v>152</v>
      </c>
      <c r="H56" s="179"/>
      <c r="I56" s="227" t="s">
        <v>153</v>
      </c>
      <c r="J56" s="179"/>
      <c r="K56" s="227" t="s">
        <v>154</v>
      </c>
      <c r="L56" s="179"/>
      <c r="M56" s="210"/>
      <c r="N56" s="211"/>
      <c r="O56" s="211"/>
      <c r="P56" s="212"/>
    </row>
    <row r="57" spans="1:16" ht="19.5" customHeight="1">
      <c r="A57" s="26" t="s">
        <v>155</v>
      </c>
      <c r="B57" s="202"/>
      <c r="C57" s="179"/>
      <c r="D57" s="83" t="str">
        <f t="shared" ref="D57:D86" si="1">A57&amp;" "&amp;B57</f>
        <v xml:space="preserve">1.1.1 </v>
      </c>
      <c r="E57" s="84"/>
      <c r="F57" s="84"/>
      <c r="G57" s="221"/>
      <c r="H57" s="179"/>
      <c r="I57" s="221"/>
      <c r="J57" s="179"/>
      <c r="K57" s="221"/>
      <c r="L57" s="179"/>
      <c r="M57" s="202"/>
      <c r="N57" s="178"/>
      <c r="O57" s="178"/>
      <c r="P57" s="179"/>
    </row>
    <row r="58" spans="1:16" ht="19.5" customHeight="1">
      <c r="A58" s="26" t="s">
        <v>156</v>
      </c>
      <c r="B58" s="202"/>
      <c r="C58" s="179"/>
      <c r="D58" s="83" t="str">
        <f t="shared" si="1"/>
        <v xml:space="preserve">1.1.2 </v>
      </c>
      <c r="E58" s="84"/>
      <c r="F58" s="84"/>
      <c r="G58" s="221"/>
      <c r="H58" s="179"/>
      <c r="I58" s="221"/>
      <c r="J58" s="179"/>
      <c r="K58" s="221"/>
      <c r="L58" s="179"/>
      <c r="M58" s="202"/>
      <c r="N58" s="178"/>
      <c r="O58" s="178"/>
      <c r="P58" s="179"/>
    </row>
    <row r="59" spans="1:16" ht="19.5" customHeight="1">
      <c r="A59" s="26" t="s">
        <v>157</v>
      </c>
      <c r="B59" s="202"/>
      <c r="C59" s="179"/>
      <c r="D59" s="83" t="str">
        <f t="shared" si="1"/>
        <v xml:space="preserve">1.2.1 </v>
      </c>
      <c r="E59" s="84"/>
      <c r="F59" s="84"/>
      <c r="G59" s="221"/>
      <c r="H59" s="179"/>
      <c r="I59" s="221"/>
      <c r="J59" s="179"/>
      <c r="K59" s="221"/>
      <c r="L59" s="179"/>
      <c r="M59" s="202"/>
      <c r="N59" s="178"/>
      <c r="O59" s="178"/>
      <c r="P59" s="179"/>
    </row>
    <row r="60" spans="1:16" ht="19.5" customHeight="1">
      <c r="A60" s="26" t="s">
        <v>158</v>
      </c>
      <c r="B60" s="202"/>
      <c r="C60" s="179"/>
      <c r="D60" s="83" t="str">
        <f t="shared" si="1"/>
        <v xml:space="preserve">1.2.2 </v>
      </c>
      <c r="E60" s="84"/>
      <c r="F60" s="84"/>
      <c r="G60" s="221"/>
      <c r="H60" s="179"/>
      <c r="I60" s="221"/>
      <c r="J60" s="179"/>
      <c r="K60" s="221"/>
      <c r="L60" s="179"/>
      <c r="M60" s="202"/>
      <c r="N60" s="178"/>
      <c r="O60" s="178"/>
      <c r="P60" s="179"/>
    </row>
    <row r="61" spans="1:16" ht="19.5" customHeight="1">
      <c r="A61" s="26" t="s">
        <v>159</v>
      </c>
      <c r="B61" s="202"/>
      <c r="C61" s="179"/>
      <c r="D61" s="83" t="str">
        <f t="shared" si="1"/>
        <v xml:space="preserve">1.3.1 </v>
      </c>
      <c r="E61" s="84"/>
      <c r="F61" s="84"/>
      <c r="G61" s="221"/>
      <c r="H61" s="179"/>
      <c r="I61" s="221"/>
      <c r="J61" s="179"/>
      <c r="K61" s="221"/>
      <c r="L61" s="179"/>
      <c r="M61" s="202"/>
      <c r="N61" s="178"/>
      <c r="O61" s="178"/>
      <c r="P61" s="179"/>
    </row>
    <row r="62" spans="1:16" ht="19.5" customHeight="1">
      <c r="A62" s="26" t="s">
        <v>160</v>
      </c>
      <c r="B62" s="202"/>
      <c r="C62" s="179"/>
      <c r="D62" s="83" t="str">
        <f t="shared" si="1"/>
        <v xml:space="preserve">1.3.2 </v>
      </c>
      <c r="E62" s="84"/>
      <c r="F62" s="84"/>
      <c r="G62" s="221"/>
      <c r="H62" s="179"/>
      <c r="I62" s="221"/>
      <c r="J62" s="179"/>
      <c r="K62" s="221"/>
      <c r="L62" s="179"/>
      <c r="M62" s="202"/>
      <c r="N62" s="178"/>
      <c r="O62" s="178"/>
      <c r="P62" s="179"/>
    </row>
    <row r="63" spans="1:16" ht="19.5" customHeight="1">
      <c r="A63" s="26" t="s">
        <v>161</v>
      </c>
      <c r="B63" s="202"/>
      <c r="C63" s="179"/>
      <c r="D63" s="83" t="str">
        <f t="shared" si="1"/>
        <v xml:space="preserve">2.1.1 </v>
      </c>
      <c r="E63" s="84"/>
      <c r="F63" s="84"/>
      <c r="G63" s="221"/>
      <c r="H63" s="179"/>
      <c r="I63" s="221"/>
      <c r="J63" s="179"/>
      <c r="K63" s="221"/>
      <c r="L63" s="179"/>
      <c r="M63" s="202"/>
      <c r="N63" s="178"/>
      <c r="O63" s="178"/>
      <c r="P63" s="179"/>
    </row>
    <row r="64" spans="1:16" ht="19.5" customHeight="1">
      <c r="A64" s="26" t="s">
        <v>162</v>
      </c>
      <c r="B64" s="202"/>
      <c r="C64" s="179"/>
      <c r="D64" s="83" t="str">
        <f t="shared" si="1"/>
        <v xml:space="preserve">2.1.2 </v>
      </c>
      <c r="E64" s="84"/>
      <c r="F64" s="84"/>
      <c r="G64" s="221"/>
      <c r="H64" s="179"/>
      <c r="I64" s="221"/>
      <c r="J64" s="179"/>
      <c r="K64" s="221"/>
      <c r="L64" s="179"/>
      <c r="M64" s="202"/>
      <c r="N64" s="178"/>
      <c r="O64" s="178"/>
      <c r="P64" s="179"/>
    </row>
    <row r="65" spans="1:16" ht="19.5" customHeight="1">
      <c r="A65" s="26" t="s">
        <v>163</v>
      </c>
      <c r="B65" s="202"/>
      <c r="C65" s="179"/>
      <c r="D65" s="83" t="str">
        <f t="shared" si="1"/>
        <v xml:space="preserve">2.2.1 </v>
      </c>
      <c r="E65" s="84"/>
      <c r="F65" s="84"/>
      <c r="G65" s="221"/>
      <c r="H65" s="179"/>
      <c r="I65" s="221"/>
      <c r="J65" s="179"/>
      <c r="K65" s="221"/>
      <c r="L65" s="179"/>
      <c r="M65" s="202"/>
      <c r="N65" s="178"/>
      <c r="O65" s="178"/>
      <c r="P65" s="179"/>
    </row>
    <row r="66" spans="1:16" ht="19.5" customHeight="1">
      <c r="A66" s="26" t="s">
        <v>164</v>
      </c>
      <c r="B66" s="202"/>
      <c r="C66" s="179"/>
      <c r="D66" s="83" t="str">
        <f t="shared" si="1"/>
        <v xml:space="preserve">2.2.2 </v>
      </c>
      <c r="E66" s="84"/>
      <c r="F66" s="84"/>
      <c r="G66" s="221"/>
      <c r="H66" s="179"/>
      <c r="I66" s="221"/>
      <c r="J66" s="179"/>
      <c r="K66" s="221"/>
      <c r="L66" s="179"/>
      <c r="M66" s="202"/>
      <c r="N66" s="178"/>
      <c r="O66" s="178"/>
      <c r="P66" s="179"/>
    </row>
    <row r="67" spans="1:16" ht="19.5" customHeight="1">
      <c r="A67" s="26" t="s">
        <v>165</v>
      </c>
      <c r="B67" s="202"/>
      <c r="C67" s="179"/>
      <c r="D67" s="83" t="str">
        <f t="shared" si="1"/>
        <v xml:space="preserve">2.3.1 </v>
      </c>
      <c r="E67" s="84"/>
      <c r="F67" s="84"/>
      <c r="G67" s="221"/>
      <c r="H67" s="179"/>
      <c r="I67" s="221"/>
      <c r="J67" s="179"/>
      <c r="K67" s="221"/>
      <c r="L67" s="179"/>
      <c r="M67" s="202"/>
      <c r="N67" s="178"/>
      <c r="O67" s="178"/>
      <c r="P67" s="179"/>
    </row>
    <row r="68" spans="1:16" ht="19.5" customHeight="1">
      <c r="A68" s="26" t="s">
        <v>166</v>
      </c>
      <c r="B68" s="202"/>
      <c r="C68" s="179"/>
      <c r="D68" s="83" t="str">
        <f t="shared" si="1"/>
        <v xml:space="preserve">2.3.2 </v>
      </c>
      <c r="E68" s="84"/>
      <c r="F68" s="84"/>
      <c r="G68" s="221"/>
      <c r="H68" s="179"/>
      <c r="I68" s="221"/>
      <c r="J68" s="179"/>
      <c r="K68" s="221"/>
      <c r="L68" s="179"/>
      <c r="M68" s="202"/>
      <c r="N68" s="178"/>
      <c r="O68" s="178"/>
      <c r="P68" s="179"/>
    </row>
    <row r="69" spans="1:16" ht="24" customHeight="1">
      <c r="A69" s="26" t="s">
        <v>167</v>
      </c>
      <c r="B69" s="202"/>
      <c r="C69" s="179"/>
      <c r="D69" s="83" t="str">
        <f t="shared" si="1"/>
        <v xml:space="preserve">3.1.1 </v>
      </c>
      <c r="E69" s="84"/>
      <c r="F69" s="84"/>
      <c r="G69" s="221"/>
      <c r="H69" s="179"/>
      <c r="I69" s="221"/>
      <c r="J69" s="179"/>
      <c r="K69" s="221"/>
      <c r="L69" s="179"/>
      <c r="M69" s="202"/>
      <c r="N69" s="178"/>
      <c r="O69" s="178"/>
      <c r="P69" s="179"/>
    </row>
    <row r="70" spans="1:16" ht="19.5" customHeight="1">
      <c r="A70" s="26" t="s">
        <v>168</v>
      </c>
      <c r="B70" s="202"/>
      <c r="C70" s="179"/>
      <c r="D70" s="83" t="str">
        <f t="shared" si="1"/>
        <v xml:space="preserve">3.1.2 </v>
      </c>
      <c r="E70" s="84"/>
      <c r="F70" s="84"/>
      <c r="G70" s="221"/>
      <c r="H70" s="179"/>
      <c r="I70" s="221"/>
      <c r="J70" s="179"/>
      <c r="K70" s="221"/>
      <c r="L70" s="179"/>
      <c r="M70" s="202"/>
      <c r="N70" s="178"/>
      <c r="O70" s="178"/>
      <c r="P70" s="179"/>
    </row>
    <row r="71" spans="1:16" ht="19.5" customHeight="1">
      <c r="A71" s="26" t="s">
        <v>169</v>
      </c>
      <c r="B71" s="202"/>
      <c r="C71" s="179"/>
      <c r="D71" s="83" t="str">
        <f t="shared" si="1"/>
        <v xml:space="preserve">3.2.1 </v>
      </c>
      <c r="E71" s="84"/>
      <c r="F71" s="84"/>
      <c r="G71" s="221"/>
      <c r="H71" s="179"/>
      <c r="I71" s="221"/>
      <c r="J71" s="179"/>
      <c r="K71" s="221"/>
      <c r="L71" s="179"/>
      <c r="M71" s="202"/>
      <c r="N71" s="178"/>
      <c r="O71" s="178"/>
      <c r="P71" s="179"/>
    </row>
    <row r="72" spans="1:16" ht="19.5" customHeight="1">
      <c r="A72" s="26" t="s">
        <v>170</v>
      </c>
      <c r="B72" s="202"/>
      <c r="C72" s="179"/>
      <c r="D72" s="83" t="str">
        <f t="shared" si="1"/>
        <v xml:space="preserve">3.2.2 </v>
      </c>
      <c r="E72" s="84"/>
      <c r="F72" s="84"/>
      <c r="G72" s="221"/>
      <c r="H72" s="179"/>
      <c r="I72" s="221"/>
      <c r="J72" s="179"/>
      <c r="K72" s="221"/>
      <c r="L72" s="179"/>
      <c r="M72" s="202"/>
      <c r="N72" s="178"/>
      <c r="O72" s="178"/>
      <c r="P72" s="179"/>
    </row>
    <row r="73" spans="1:16" ht="19.5" customHeight="1">
      <c r="A73" s="26" t="s">
        <v>171</v>
      </c>
      <c r="B73" s="202"/>
      <c r="C73" s="179"/>
      <c r="D73" s="83" t="str">
        <f t="shared" si="1"/>
        <v xml:space="preserve">3.3.1 </v>
      </c>
      <c r="E73" s="84"/>
      <c r="F73" s="84"/>
      <c r="G73" s="221"/>
      <c r="H73" s="179"/>
      <c r="I73" s="221"/>
      <c r="J73" s="179"/>
      <c r="K73" s="221"/>
      <c r="L73" s="179"/>
      <c r="M73" s="202"/>
      <c r="N73" s="178"/>
      <c r="O73" s="178"/>
      <c r="P73" s="179"/>
    </row>
    <row r="74" spans="1:16" ht="19.5" customHeight="1">
      <c r="A74" s="26" t="s">
        <v>172</v>
      </c>
      <c r="B74" s="202"/>
      <c r="C74" s="179"/>
      <c r="D74" s="83" t="str">
        <f t="shared" si="1"/>
        <v xml:space="preserve">3.3.2 </v>
      </c>
      <c r="E74" s="84"/>
      <c r="F74" s="84"/>
      <c r="G74" s="221"/>
      <c r="H74" s="179"/>
      <c r="I74" s="221"/>
      <c r="J74" s="179"/>
      <c r="K74" s="221"/>
      <c r="L74" s="179"/>
      <c r="M74" s="202"/>
      <c r="N74" s="178"/>
      <c r="O74" s="178"/>
      <c r="P74" s="179"/>
    </row>
    <row r="75" spans="1:16" ht="19.5" customHeight="1">
      <c r="A75" s="26" t="s">
        <v>173</v>
      </c>
      <c r="B75" s="202"/>
      <c r="C75" s="179"/>
      <c r="D75" s="83" t="str">
        <f t="shared" si="1"/>
        <v xml:space="preserve">4.1.1 </v>
      </c>
      <c r="E75" s="84"/>
      <c r="F75" s="84"/>
      <c r="G75" s="221"/>
      <c r="H75" s="179"/>
      <c r="I75" s="221"/>
      <c r="J75" s="179"/>
      <c r="K75" s="221"/>
      <c r="L75" s="179"/>
      <c r="M75" s="202"/>
      <c r="N75" s="178"/>
      <c r="O75" s="178"/>
      <c r="P75" s="179"/>
    </row>
    <row r="76" spans="1:16" ht="19.5" customHeight="1">
      <c r="A76" s="26" t="s">
        <v>174</v>
      </c>
      <c r="B76" s="202"/>
      <c r="C76" s="179"/>
      <c r="D76" s="83" t="str">
        <f t="shared" si="1"/>
        <v xml:space="preserve">4.1.2 </v>
      </c>
      <c r="E76" s="84"/>
      <c r="F76" s="84"/>
      <c r="G76" s="221"/>
      <c r="H76" s="179"/>
      <c r="I76" s="221"/>
      <c r="J76" s="179"/>
      <c r="K76" s="221"/>
      <c r="L76" s="179"/>
      <c r="M76" s="202"/>
      <c r="N76" s="178"/>
      <c r="O76" s="178"/>
      <c r="P76" s="179"/>
    </row>
    <row r="77" spans="1:16" ht="19.5" customHeight="1">
      <c r="A77" s="26" t="s">
        <v>175</v>
      </c>
      <c r="B77" s="202"/>
      <c r="C77" s="179"/>
      <c r="D77" s="83" t="str">
        <f t="shared" si="1"/>
        <v xml:space="preserve">4.2.1 </v>
      </c>
      <c r="E77" s="84"/>
      <c r="F77" s="84"/>
      <c r="G77" s="221"/>
      <c r="H77" s="179"/>
      <c r="I77" s="221"/>
      <c r="J77" s="179"/>
      <c r="K77" s="221"/>
      <c r="L77" s="179"/>
      <c r="M77" s="202"/>
      <c r="N77" s="178"/>
      <c r="O77" s="178"/>
      <c r="P77" s="179"/>
    </row>
    <row r="78" spans="1:16" ht="19.5" customHeight="1">
      <c r="A78" s="26" t="s">
        <v>176</v>
      </c>
      <c r="B78" s="202"/>
      <c r="C78" s="179"/>
      <c r="D78" s="83" t="str">
        <f t="shared" si="1"/>
        <v xml:space="preserve">4.2.2 </v>
      </c>
      <c r="E78" s="84"/>
      <c r="F78" s="84"/>
      <c r="G78" s="221"/>
      <c r="H78" s="179"/>
      <c r="I78" s="221"/>
      <c r="J78" s="179"/>
      <c r="K78" s="221"/>
      <c r="L78" s="179"/>
      <c r="M78" s="202"/>
      <c r="N78" s="178"/>
      <c r="O78" s="178"/>
      <c r="P78" s="179"/>
    </row>
    <row r="79" spans="1:16" ht="19.5" customHeight="1">
      <c r="A79" s="26" t="s">
        <v>177</v>
      </c>
      <c r="B79" s="202"/>
      <c r="C79" s="179"/>
      <c r="D79" s="83" t="str">
        <f t="shared" si="1"/>
        <v xml:space="preserve">4.3.1 </v>
      </c>
      <c r="E79" s="84"/>
      <c r="F79" s="84"/>
      <c r="G79" s="221"/>
      <c r="H79" s="179"/>
      <c r="I79" s="221"/>
      <c r="J79" s="179"/>
      <c r="K79" s="221"/>
      <c r="L79" s="179"/>
      <c r="M79" s="202"/>
      <c r="N79" s="178"/>
      <c r="O79" s="178"/>
      <c r="P79" s="179"/>
    </row>
    <row r="80" spans="1:16" ht="19.5" customHeight="1">
      <c r="A80" s="26" t="s">
        <v>178</v>
      </c>
      <c r="B80" s="202"/>
      <c r="C80" s="179"/>
      <c r="D80" s="83" t="str">
        <f t="shared" si="1"/>
        <v xml:space="preserve">4.3.2 </v>
      </c>
      <c r="E80" s="84"/>
      <c r="F80" s="84"/>
      <c r="G80" s="221"/>
      <c r="H80" s="179"/>
      <c r="I80" s="221"/>
      <c r="J80" s="179"/>
      <c r="K80" s="221"/>
      <c r="L80" s="179"/>
      <c r="M80" s="202"/>
      <c r="N80" s="178"/>
      <c r="O80" s="178"/>
      <c r="P80" s="179"/>
    </row>
    <row r="81" spans="1:16" ht="19.5" customHeight="1">
      <c r="A81" s="26" t="s">
        <v>179</v>
      </c>
      <c r="B81" s="202"/>
      <c r="C81" s="179"/>
      <c r="D81" s="83" t="str">
        <f t="shared" si="1"/>
        <v xml:space="preserve">5.1.1 </v>
      </c>
      <c r="E81" s="84"/>
      <c r="F81" s="84"/>
      <c r="G81" s="221"/>
      <c r="H81" s="179"/>
      <c r="I81" s="221"/>
      <c r="J81" s="179"/>
      <c r="K81" s="221"/>
      <c r="L81" s="179"/>
      <c r="M81" s="202"/>
      <c r="N81" s="178"/>
      <c r="O81" s="178"/>
      <c r="P81" s="179"/>
    </row>
    <row r="82" spans="1:16" ht="19.5" customHeight="1">
      <c r="A82" s="26" t="s">
        <v>180</v>
      </c>
      <c r="B82" s="202"/>
      <c r="C82" s="179"/>
      <c r="D82" s="83" t="str">
        <f t="shared" si="1"/>
        <v xml:space="preserve">5.1.2 </v>
      </c>
      <c r="E82" s="84"/>
      <c r="F82" s="84"/>
      <c r="G82" s="221"/>
      <c r="H82" s="179"/>
      <c r="I82" s="221"/>
      <c r="J82" s="179"/>
      <c r="K82" s="221"/>
      <c r="L82" s="179"/>
      <c r="M82" s="202"/>
      <c r="N82" s="178"/>
      <c r="O82" s="178"/>
      <c r="P82" s="179"/>
    </row>
    <row r="83" spans="1:16" ht="19.5" customHeight="1">
      <c r="A83" s="26" t="s">
        <v>181</v>
      </c>
      <c r="B83" s="202"/>
      <c r="C83" s="179"/>
      <c r="D83" s="83" t="str">
        <f t="shared" si="1"/>
        <v xml:space="preserve">5.2.1 </v>
      </c>
      <c r="E83" s="84"/>
      <c r="F83" s="84"/>
      <c r="G83" s="221"/>
      <c r="H83" s="179"/>
      <c r="I83" s="221"/>
      <c r="J83" s="179"/>
      <c r="K83" s="221"/>
      <c r="L83" s="179"/>
      <c r="M83" s="202"/>
      <c r="N83" s="178"/>
      <c r="O83" s="178"/>
      <c r="P83" s="179"/>
    </row>
    <row r="84" spans="1:16" ht="19.5" customHeight="1">
      <c r="A84" s="26" t="s">
        <v>182</v>
      </c>
      <c r="B84" s="202"/>
      <c r="C84" s="179"/>
      <c r="D84" s="83" t="str">
        <f t="shared" si="1"/>
        <v xml:space="preserve">5.2.2 </v>
      </c>
      <c r="E84" s="84"/>
      <c r="F84" s="84"/>
      <c r="G84" s="221"/>
      <c r="H84" s="179"/>
      <c r="I84" s="221"/>
      <c r="J84" s="179"/>
      <c r="K84" s="221"/>
      <c r="L84" s="179"/>
      <c r="M84" s="202"/>
      <c r="N84" s="178"/>
      <c r="O84" s="178"/>
      <c r="P84" s="179"/>
    </row>
    <row r="85" spans="1:16" ht="19.5" customHeight="1">
      <c r="A85" s="26" t="s">
        <v>183</v>
      </c>
      <c r="B85" s="202"/>
      <c r="C85" s="179"/>
      <c r="D85" s="83" t="str">
        <f t="shared" si="1"/>
        <v xml:space="preserve">5.3.1 </v>
      </c>
      <c r="E85" s="84"/>
      <c r="F85" s="84"/>
      <c r="G85" s="221"/>
      <c r="H85" s="179"/>
      <c r="I85" s="221"/>
      <c r="J85" s="179"/>
      <c r="K85" s="221"/>
      <c r="L85" s="179"/>
      <c r="M85" s="202"/>
      <c r="N85" s="178"/>
      <c r="O85" s="178"/>
      <c r="P85" s="179"/>
    </row>
    <row r="86" spans="1:16" ht="19.5" customHeight="1">
      <c r="A86" s="26" t="s">
        <v>184</v>
      </c>
      <c r="B86" s="202"/>
      <c r="C86" s="179"/>
      <c r="D86" s="83" t="str">
        <f t="shared" si="1"/>
        <v xml:space="preserve">5.3.2 </v>
      </c>
      <c r="E86" s="84"/>
      <c r="F86" s="84"/>
      <c r="G86" s="221"/>
      <c r="H86" s="179"/>
      <c r="I86" s="221"/>
      <c r="J86" s="179"/>
      <c r="K86" s="221"/>
      <c r="L86" s="179"/>
      <c r="M86" s="202"/>
      <c r="N86" s="178"/>
      <c r="O86" s="178"/>
      <c r="P86" s="179"/>
    </row>
    <row r="87" spans="1:16" ht="19.5" customHeight="1">
      <c r="A87" s="204" t="s">
        <v>185</v>
      </c>
      <c r="B87" s="178"/>
      <c r="C87" s="178"/>
      <c r="D87" s="178"/>
      <c r="E87" s="178"/>
      <c r="F87" s="178"/>
      <c r="G87" s="178"/>
      <c r="H87" s="178"/>
      <c r="I87" s="178"/>
      <c r="J87" s="178"/>
      <c r="K87" s="178"/>
      <c r="L87" s="178"/>
      <c r="M87" s="178"/>
      <c r="N87" s="178"/>
      <c r="O87" s="178"/>
      <c r="P87" s="179"/>
    </row>
    <row r="88" spans="1:16" ht="19.5" customHeight="1">
      <c r="A88" s="215" t="s">
        <v>131</v>
      </c>
      <c r="B88" s="179"/>
      <c r="C88" s="79" t="s">
        <v>214</v>
      </c>
      <c r="D88" s="79"/>
      <c r="E88" s="244" t="s">
        <v>186</v>
      </c>
      <c r="F88" s="178"/>
      <c r="G88" s="79" t="s">
        <v>120</v>
      </c>
      <c r="H88" s="79" t="s">
        <v>187</v>
      </c>
      <c r="I88" s="79" t="s">
        <v>188</v>
      </c>
      <c r="J88" s="79" t="s">
        <v>189</v>
      </c>
      <c r="K88" s="79" t="s">
        <v>190</v>
      </c>
      <c r="L88" s="79" t="s">
        <v>191</v>
      </c>
      <c r="M88" s="79" t="s">
        <v>192</v>
      </c>
      <c r="N88" s="79" t="s">
        <v>193</v>
      </c>
      <c r="O88" s="79" t="s">
        <v>194</v>
      </c>
      <c r="P88" s="79" t="s">
        <v>189</v>
      </c>
    </row>
    <row r="89" spans="1:16" ht="19.5" customHeight="1">
      <c r="A89" s="202"/>
      <c r="B89" s="179"/>
      <c r="C89" s="88"/>
      <c r="D89" s="88"/>
      <c r="E89" s="294"/>
      <c r="F89" s="178"/>
      <c r="G89" s="83"/>
      <c r="H89" s="132"/>
      <c r="I89" s="83"/>
      <c r="J89" s="123">
        <f t="shared" ref="J89:J110" si="2">H89*I89</f>
        <v>0</v>
      </c>
      <c r="K89" s="122"/>
      <c r="L89" s="122"/>
      <c r="M89" s="122"/>
      <c r="N89" s="122"/>
      <c r="O89" s="122"/>
      <c r="P89" s="123">
        <f t="shared" ref="P89:P111" si="3">SUM(K89:O89)</f>
        <v>0</v>
      </c>
    </row>
    <row r="90" spans="1:16" ht="19.5" customHeight="1">
      <c r="A90" s="202"/>
      <c r="B90" s="179"/>
      <c r="C90" s="88"/>
      <c r="D90" s="88"/>
      <c r="E90" s="294"/>
      <c r="F90" s="178"/>
      <c r="G90" s="83"/>
      <c r="H90" s="132"/>
      <c r="I90" s="83"/>
      <c r="J90" s="123">
        <f t="shared" si="2"/>
        <v>0</v>
      </c>
      <c r="K90" s="122"/>
      <c r="L90" s="122"/>
      <c r="M90" s="122"/>
      <c r="N90" s="122"/>
      <c r="O90" s="122"/>
      <c r="P90" s="123">
        <f t="shared" si="3"/>
        <v>0</v>
      </c>
    </row>
    <row r="91" spans="1:16" ht="19.5" customHeight="1">
      <c r="A91" s="202"/>
      <c r="B91" s="179"/>
      <c r="C91" s="88"/>
      <c r="D91" s="88"/>
      <c r="E91" s="294"/>
      <c r="F91" s="178"/>
      <c r="G91" s="83"/>
      <c r="H91" s="132"/>
      <c r="I91" s="83"/>
      <c r="J91" s="123">
        <f t="shared" si="2"/>
        <v>0</v>
      </c>
      <c r="K91" s="122"/>
      <c r="L91" s="122"/>
      <c r="M91" s="122"/>
      <c r="N91" s="122"/>
      <c r="O91" s="122"/>
      <c r="P91" s="123">
        <f t="shared" si="3"/>
        <v>0</v>
      </c>
    </row>
    <row r="92" spans="1:16" ht="19.5" customHeight="1">
      <c r="A92" s="202"/>
      <c r="B92" s="179"/>
      <c r="C92" s="88"/>
      <c r="D92" s="88"/>
      <c r="E92" s="294"/>
      <c r="F92" s="178"/>
      <c r="G92" s="83"/>
      <c r="H92" s="132"/>
      <c r="I92" s="83"/>
      <c r="J92" s="123">
        <f t="shared" si="2"/>
        <v>0</v>
      </c>
      <c r="K92" s="122"/>
      <c r="L92" s="122"/>
      <c r="M92" s="122"/>
      <c r="N92" s="122"/>
      <c r="O92" s="122"/>
      <c r="P92" s="123">
        <f t="shared" si="3"/>
        <v>0</v>
      </c>
    </row>
    <row r="93" spans="1:16" ht="19.5" customHeight="1">
      <c r="A93" s="202"/>
      <c r="B93" s="179"/>
      <c r="C93" s="88"/>
      <c r="D93" s="88"/>
      <c r="E93" s="294"/>
      <c r="F93" s="178"/>
      <c r="G93" s="83"/>
      <c r="H93" s="132"/>
      <c r="I93" s="83"/>
      <c r="J93" s="123">
        <f t="shared" si="2"/>
        <v>0</v>
      </c>
      <c r="K93" s="122"/>
      <c r="L93" s="122"/>
      <c r="M93" s="122"/>
      <c r="N93" s="122"/>
      <c r="O93" s="122"/>
      <c r="P93" s="123">
        <f t="shared" si="3"/>
        <v>0</v>
      </c>
    </row>
    <row r="94" spans="1:16" ht="19.5" customHeight="1">
      <c r="A94" s="202"/>
      <c r="B94" s="179"/>
      <c r="C94" s="88"/>
      <c r="D94" s="88"/>
      <c r="E94" s="294"/>
      <c r="F94" s="178"/>
      <c r="G94" s="83"/>
      <c r="H94" s="132"/>
      <c r="I94" s="83"/>
      <c r="J94" s="123">
        <f t="shared" si="2"/>
        <v>0</v>
      </c>
      <c r="K94" s="122"/>
      <c r="L94" s="122"/>
      <c r="M94" s="122"/>
      <c r="N94" s="122"/>
      <c r="O94" s="122"/>
      <c r="P94" s="123">
        <f t="shared" si="3"/>
        <v>0</v>
      </c>
    </row>
    <row r="95" spans="1:16" ht="19.5" customHeight="1">
      <c r="A95" s="202"/>
      <c r="B95" s="179"/>
      <c r="C95" s="88"/>
      <c r="D95" s="88"/>
      <c r="E95" s="294"/>
      <c r="F95" s="178"/>
      <c r="G95" s="83"/>
      <c r="H95" s="132"/>
      <c r="I95" s="83"/>
      <c r="J95" s="123">
        <f t="shared" si="2"/>
        <v>0</v>
      </c>
      <c r="K95" s="122"/>
      <c r="L95" s="122"/>
      <c r="M95" s="122"/>
      <c r="N95" s="122"/>
      <c r="O95" s="122"/>
      <c r="P95" s="123">
        <f t="shared" si="3"/>
        <v>0</v>
      </c>
    </row>
    <row r="96" spans="1:16" ht="19.5" customHeight="1">
      <c r="A96" s="202"/>
      <c r="B96" s="179"/>
      <c r="C96" s="88"/>
      <c r="D96" s="88"/>
      <c r="E96" s="294"/>
      <c r="F96" s="178"/>
      <c r="G96" s="83"/>
      <c r="H96" s="132"/>
      <c r="I96" s="83"/>
      <c r="J96" s="123">
        <f t="shared" si="2"/>
        <v>0</v>
      </c>
      <c r="K96" s="122"/>
      <c r="L96" s="122"/>
      <c r="M96" s="122"/>
      <c r="N96" s="122"/>
      <c r="O96" s="122"/>
      <c r="P96" s="123">
        <f t="shared" si="3"/>
        <v>0</v>
      </c>
    </row>
    <row r="97" spans="1:16" ht="19.5" customHeight="1">
      <c r="A97" s="202"/>
      <c r="B97" s="179"/>
      <c r="C97" s="88"/>
      <c r="D97" s="88"/>
      <c r="E97" s="294"/>
      <c r="F97" s="178"/>
      <c r="G97" s="83"/>
      <c r="H97" s="132"/>
      <c r="I97" s="83"/>
      <c r="J97" s="123">
        <f t="shared" si="2"/>
        <v>0</v>
      </c>
      <c r="K97" s="122"/>
      <c r="L97" s="122"/>
      <c r="M97" s="122"/>
      <c r="N97" s="122"/>
      <c r="O97" s="122"/>
      <c r="P97" s="123">
        <f t="shared" si="3"/>
        <v>0</v>
      </c>
    </row>
    <row r="98" spans="1:16" ht="19.5" customHeight="1">
      <c r="A98" s="202"/>
      <c r="B98" s="179"/>
      <c r="C98" s="88"/>
      <c r="D98" s="88"/>
      <c r="E98" s="294"/>
      <c r="F98" s="178"/>
      <c r="G98" s="83"/>
      <c r="H98" s="132"/>
      <c r="I98" s="83"/>
      <c r="J98" s="123">
        <f t="shared" si="2"/>
        <v>0</v>
      </c>
      <c r="K98" s="122"/>
      <c r="L98" s="122"/>
      <c r="M98" s="122"/>
      <c r="N98" s="122"/>
      <c r="O98" s="122"/>
      <c r="P98" s="123">
        <f t="shared" si="3"/>
        <v>0</v>
      </c>
    </row>
    <row r="99" spans="1:16" ht="21.75" customHeight="1">
      <c r="A99" s="202"/>
      <c r="B99" s="179"/>
      <c r="C99" s="88"/>
      <c r="D99" s="88"/>
      <c r="E99" s="294"/>
      <c r="F99" s="178"/>
      <c r="G99" s="83"/>
      <c r="H99" s="132"/>
      <c r="I99" s="83"/>
      <c r="J99" s="123">
        <f t="shared" si="2"/>
        <v>0</v>
      </c>
      <c r="K99" s="122"/>
      <c r="L99" s="122"/>
      <c r="M99" s="122"/>
      <c r="N99" s="122"/>
      <c r="O99" s="122"/>
      <c r="P99" s="123">
        <f t="shared" si="3"/>
        <v>0</v>
      </c>
    </row>
    <row r="100" spans="1:16" ht="19.5" customHeight="1">
      <c r="A100" s="202"/>
      <c r="B100" s="179"/>
      <c r="C100" s="88"/>
      <c r="D100" s="88"/>
      <c r="E100" s="294"/>
      <c r="F100" s="178"/>
      <c r="G100" s="83"/>
      <c r="H100" s="132"/>
      <c r="I100" s="83"/>
      <c r="J100" s="123">
        <f t="shared" si="2"/>
        <v>0</v>
      </c>
      <c r="K100" s="122"/>
      <c r="L100" s="122"/>
      <c r="M100" s="122"/>
      <c r="N100" s="122"/>
      <c r="O100" s="122"/>
      <c r="P100" s="123">
        <f t="shared" si="3"/>
        <v>0</v>
      </c>
    </row>
    <row r="101" spans="1:16" ht="19.5" customHeight="1">
      <c r="A101" s="202"/>
      <c r="B101" s="179"/>
      <c r="C101" s="88"/>
      <c r="D101" s="88"/>
      <c r="E101" s="294"/>
      <c r="F101" s="178"/>
      <c r="G101" s="83"/>
      <c r="H101" s="132"/>
      <c r="I101" s="83"/>
      <c r="J101" s="123">
        <f t="shared" si="2"/>
        <v>0</v>
      </c>
      <c r="K101" s="122"/>
      <c r="L101" s="122"/>
      <c r="M101" s="122"/>
      <c r="N101" s="122"/>
      <c r="O101" s="122"/>
      <c r="P101" s="123">
        <f t="shared" si="3"/>
        <v>0</v>
      </c>
    </row>
    <row r="102" spans="1:16" ht="19.5" customHeight="1">
      <c r="A102" s="202"/>
      <c r="B102" s="179"/>
      <c r="C102" s="88"/>
      <c r="D102" s="88"/>
      <c r="E102" s="294"/>
      <c r="F102" s="178"/>
      <c r="G102" s="83"/>
      <c r="H102" s="132"/>
      <c r="I102" s="83"/>
      <c r="J102" s="123">
        <f t="shared" si="2"/>
        <v>0</v>
      </c>
      <c r="K102" s="122"/>
      <c r="L102" s="122"/>
      <c r="M102" s="122"/>
      <c r="N102" s="122"/>
      <c r="O102" s="122"/>
      <c r="P102" s="123">
        <f t="shared" si="3"/>
        <v>0</v>
      </c>
    </row>
    <row r="103" spans="1:16" ht="19.5" customHeight="1">
      <c r="A103" s="202"/>
      <c r="B103" s="179"/>
      <c r="C103" s="88"/>
      <c r="D103" s="88"/>
      <c r="E103" s="294"/>
      <c r="F103" s="178"/>
      <c r="G103" s="83"/>
      <c r="H103" s="132"/>
      <c r="I103" s="83"/>
      <c r="J103" s="123">
        <f t="shared" si="2"/>
        <v>0</v>
      </c>
      <c r="K103" s="122"/>
      <c r="L103" s="122"/>
      <c r="M103" s="122"/>
      <c r="N103" s="122"/>
      <c r="O103" s="122"/>
      <c r="P103" s="123">
        <f t="shared" si="3"/>
        <v>0</v>
      </c>
    </row>
    <row r="104" spans="1:16" ht="19.5" customHeight="1">
      <c r="A104" s="202"/>
      <c r="B104" s="179"/>
      <c r="C104" s="88"/>
      <c r="D104" s="88"/>
      <c r="E104" s="294"/>
      <c r="F104" s="178"/>
      <c r="G104" s="83"/>
      <c r="H104" s="132"/>
      <c r="I104" s="83"/>
      <c r="J104" s="123">
        <f t="shared" si="2"/>
        <v>0</v>
      </c>
      <c r="K104" s="122"/>
      <c r="L104" s="122"/>
      <c r="M104" s="122"/>
      <c r="N104" s="122"/>
      <c r="O104" s="122"/>
      <c r="P104" s="123">
        <f t="shared" si="3"/>
        <v>0</v>
      </c>
    </row>
    <row r="105" spans="1:16" ht="19.5" customHeight="1">
      <c r="A105" s="202"/>
      <c r="B105" s="179"/>
      <c r="C105" s="88"/>
      <c r="D105" s="88"/>
      <c r="E105" s="294"/>
      <c r="F105" s="178"/>
      <c r="G105" s="83"/>
      <c r="H105" s="132"/>
      <c r="I105" s="83"/>
      <c r="J105" s="123">
        <f t="shared" si="2"/>
        <v>0</v>
      </c>
      <c r="K105" s="122"/>
      <c r="L105" s="122"/>
      <c r="M105" s="122"/>
      <c r="N105" s="122"/>
      <c r="O105" s="122"/>
      <c r="P105" s="123">
        <f t="shared" si="3"/>
        <v>0</v>
      </c>
    </row>
    <row r="106" spans="1:16" ht="19.5" customHeight="1">
      <c r="A106" s="202"/>
      <c r="B106" s="179"/>
      <c r="C106" s="88"/>
      <c r="D106" s="88"/>
      <c r="E106" s="294"/>
      <c r="F106" s="178"/>
      <c r="G106" s="83"/>
      <c r="H106" s="132"/>
      <c r="I106" s="83"/>
      <c r="J106" s="123">
        <f t="shared" si="2"/>
        <v>0</v>
      </c>
      <c r="K106" s="122"/>
      <c r="L106" s="122"/>
      <c r="M106" s="122"/>
      <c r="N106" s="122"/>
      <c r="O106" s="122"/>
      <c r="P106" s="123">
        <f t="shared" si="3"/>
        <v>0</v>
      </c>
    </row>
    <row r="107" spans="1:16" ht="19.5" customHeight="1">
      <c r="A107" s="202"/>
      <c r="B107" s="179"/>
      <c r="C107" s="88"/>
      <c r="D107" s="88"/>
      <c r="E107" s="294"/>
      <c r="F107" s="178"/>
      <c r="G107" s="83"/>
      <c r="H107" s="132"/>
      <c r="I107" s="83"/>
      <c r="J107" s="123">
        <f t="shared" si="2"/>
        <v>0</v>
      </c>
      <c r="K107" s="122"/>
      <c r="L107" s="122"/>
      <c r="M107" s="122"/>
      <c r="N107" s="122"/>
      <c r="O107" s="122"/>
      <c r="P107" s="123">
        <f t="shared" si="3"/>
        <v>0</v>
      </c>
    </row>
    <row r="108" spans="1:16" ht="19.5" customHeight="1">
      <c r="A108" s="202"/>
      <c r="B108" s="179"/>
      <c r="C108" s="88"/>
      <c r="D108" s="88"/>
      <c r="E108" s="294"/>
      <c r="F108" s="178"/>
      <c r="G108" s="83"/>
      <c r="H108" s="132"/>
      <c r="I108" s="83"/>
      <c r="J108" s="123">
        <f t="shared" si="2"/>
        <v>0</v>
      </c>
      <c r="K108" s="122"/>
      <c r="L108" s="122"/>
      <c r="M108" s="122"/>
      <c r="N108" s="122"/>
      <c r="O108" s="122"/>
      <c r="P108" s="123">
        <f t="shared" si="3"/>
        <v>0</v>
      </c>
    </row>
    <row r="109" spans="1:16" ht="19.5" customHeight="1">
      <c r="A109" s="202"/>
      <c r="B109" s="179"/>
      <c r="C109" s="88"/>
      <c r="D109" s="88"/>
      <c r="E109" s="294"/>
      <c r="F109" s="178"/>
      <c r="G109" s="83"/>
      <c r="H109" s="132"/>
      <c r="I109" s="83"/>
      <c r="J109" s="123">
        <f t="shared" si="2"/>
        <v>0</v>
      </c>
      <c r="K109" s="122"/>
      <c r="L109" s="122"/>
      <c r="M109" s="122"/>
      <c r="N109" s="122"/>
      <c r="O109" s="122"/>
      <c r="P109" s="123">
        <f t="shared" si="3"/>
        <v>0</v>
      </c>
    </row>
    <row r="110" spans="1:16" ht="19.5" customHeight="1">
      <c r="A110" s="202"/>
      <c r="B110" s="179"/>
      <c r="C110" s="88"/>
      <c r="D110" s="88"/>
      <c r="E110" s="294"/>
      <c r="F110" s="178"/>
      <c r="G110" s="83"/>
      <c r="H110" s="132"/>
      <c r="I110" s="83"/>
      <c r="J110" s="123">
        <f t="shared" si="2"/>
        <v>0</v>
      </c>
      <c r="K110" s="122"/>
      <c r="L110" s="122"/>
      <c r="M110" s="122"/>
      <c r="N110" s="122"/>
      <c r="O110" s="122"/>
      <c r="P110" s="123">
        <f t="shared" si="3"/>
        <v>0</v>
      </c>
    </row>
    <row r="111" spans="1:16" ht="19.5" customHeight="1">
      <c r="A111" s="293" t="s">
        <v>238</v>
      </c>
      <c r="B111" s="178"/>
      <c r="C111" s="178"/>
      <c r="D111" s="178"/>
      <c r="E111" s="178"/>
      <c r="F111" s="178"/>
      <c r="G111" s="178"/>
      <c r="H111" s="178"/>
      <c r="I111" s="179"/>
      <c r="J111" s="129">
        <f t="shared" ref="J111:O111" si="4">SUM(J89:J110)</f>
        <v>0</v>
      </c>
      <c r="K111" s="126">
        <f t="shared" si="4"/>
        <v>0</v>
      </c>
      <c r="L111" s="126">
        <f t="shared" si="4"/>
        <v>0</v>
      </c>
      <c r="M111" s="126">
        <f t="shared" si="4"/>
        <v>0</v>
      </c>
      <c r="N111" s="126">
        <f t="shared" si="4"/>
        <v>0</v>
      </c>
      <c r="O111" s="126">
        <f t="shared" si="4"/>
        <v>0</v>
      </c>
      <c r="P111" s="129">
        <f t="shared" si="3"/>
        <v>0</v>
      </c>
    </row>
  </sheetData>
  <mergeCells count="373">
    <mergeCell ref="A106:B106"/>
    <mergeCell ref="K65:L65"/>
    <mergeCell ref="G63:H63"/>
    <mergeCell ref="I63:J63"/>
    <mergeCell ref="G50:H50"/>
    <mergeCell ref="M81:P81"/>
    <mergeCell ref="E96:F96"/>
    <mergeCell ref="B75:C75"/>
    <mergeCell ref="B62:C62"/>
    <mergeCell ref="G52:H52"/>
    <mergeCell ref="E98:F98"/>
    <mergeCell ref="E55:L55"/>
    <mergeCell ref="M76:P76"/>
    <mergeCell ref="B70:C70"/>
    <mergeCell ref="I85:J85"/>
    <mergeCell ref="K85:L85"/>
    <mergeCell ref="K84:L84"/>
    <mergeCell ref="O50:P50"/>
    <mergeCell ref="K86:L86"/>
    <mergeCell ref="B65:C65"/>
    <mergeCell ref="O52:P52"/>
    <mergeCell ref="B50:C50"/>
    <mergeCell ref="M77:P77"/>
    <mergeCell ref="E103:F103"/>
    <mergeCell ref="A12:B12"/>
    <mergeCell ref="A104:B104"/>
    <mergeCell ref="M69:P69"/>
    <mergeCell ref="A14:B14"/>
    <mergeCell ref="B39:C39"/>
    <mergeCell ref="O49:P49"/>
    <mergeCell ref="L44:N44"/>
    <mergeCell ref="L31:N31"/>
    <mergeCell ref="E45:F45"/>
    <mergeCell ref="O42:P42"/>
    <mergeCell ref="G45:H45"/>
    <mergeCell ref="A20:B20"/>
    <mergeCell ref="G47:H47"/>
    <mergeCell ref="A13:B13"/>
    <mergeCell ref="G46:H46"/>
    <mergeCell ref="O37:P37"/>
    <mergeCell ref="A88:B88"/>
    <mergeCell ref="M29:P29"/>
    <mergeCell ref="B86:C86"/>
    <mergeCell ref="E2:H2"/>
    <mergeCell ref="E102:F102"/>
    <mergeCell ref="G77:H77"/>
    <mergeCell ref="I77:J77"/>
    <mergeCell ref="B66:C66"/>
    <mergeCell ref="G40:H40"/>
    <mergeCell ref="I27:P27"/>
    <mergeCell ref="K64:L64"/>
    <mergeCell ref="I72:J72"/>
    <mergeCell ref="I25:P25"/>
    <mergeCell ref="K72:L72"/>
    <mergeCell ref="G49:H49"/>
    <mergeCell ref="M79:P79"/>
    <mergeCell ref="M73:P73"/>
    <mergeCell ref="M60:P60"/>
    <mergeCell ref="A91:B91"/>
    <mergeCell ref="I82:J82"/>
    <mergeCell ref="K82:L82"/>
    <mergeCell ref="A93:B93"/>
    <mergeCell ref="E50:F50"/>
    <mergeCell ref="K83:L83"/>
    <mergeCell ref="O34:P34"/>
    <mergeCell ref="M6:N7"/>
    <mergeCell ref="G42:H42"/>
    <mergeCell ref="E105:F105"/>
    <mergeCell ref="G34:H34"/>
    <mergeCell ref="K67:L67"/>
    <mergeCell ref="E99:F99"/>
    <mergeCell ref="E49:F49"/>
    <mergeCell ref="E36:F36"/>
    <mergeCell ref="B40:C40"/>
    <mergeCell ref="E101:F101"/>
    <mergeCell ref="C8:P8"/>
    <mergeCell ref="B33:C33"/>
    <mergeCell ref="E100:F100"/>
    <mergeCell ref="G44:H44"/>
    <mergeCell ref="I69:J69"/>
    <mergeCell ref="B41:C41"/>
    <mergeCell ref="K69:L69"/>
    <mergeCell ref="B35:C35"/>
    <mergeCell ref="E52:F52"/>
    <mergeCell ref="E39:F39"/>
    <mergeCell ref="O39:P39"/>
    <mergeCell ref="O36:P36"/>
    <mergeCell ref="G39:H39"/>
    <mergeCell ref="M63:P63"/>
    <mergeCell ref="B43:C43"/>
    <mergeCell ref="E44:F44"/>
    <mergeCell ref="G5:L5"/>
    <mergeCell ref="M71:P71"/>
    <mergeCell ref="I76:J76"/>
    <mergeCell ref="A9:P9"/>
    <mergeCell ref="K76:L76"/>
    <mergeCell ref="A90:B90"/>
    <mergeCell ref="A11:P11"/>
    <mergeCell ref="E34:F34"/>
    <mergeCell ref="K60:L60"/>
    <mergeCell ref="O5:P5"/>
    <mergeCell ref="E6:E7"/>
    <mergeCell ref="A19:B19"/>
    <mergeCell ref="B51:C51"/>
    <mergeCell ref="G75:H75"/>
    <mergeCell ref="C26:H26"/>
    <mergeCell ref="G6:H7"/>
    <mergeCell ref="M55:P56"/>
    <mergeCell ref="G70:H70"/>
    <mergeCell ref="I70:J70"/>
    <mergeCell ref="I57:J57"/>
    <mergeCell ref="L41:N41"/>
    <mergeCell ref="O53:P53"/>
    <mergeCell ref="M57:P57"/>
    <mergeCell ref="A5:B5"/>
    <mergeCell ref="I2:J2"/>
    <mergeCell ref="A94:B94"/>
    <mergeCell ref="A38:P38"/>
    <mergeCell ref="C27:H27"/>
    <mergeCell ref="B42:C42"/>
    <mergeCell ref="A22:B27"/>
    <mergeCell ref="G78:H78"/>
    <mergeCell ref="B82:C82"/>
    <mergeCell ref="B44:C44"/>
    <mergeCell ref="G80:H80"/>
    <mergeCell ref="O6:P7"/>
    <mergeCell ref="K71:L71"/>
    <mergeCell ref="A30:C30"/>
    <mergeCell ref="G79:H79"/>
    <mergeCell ref="B83:C83"/>
    <mergeCell ref="G73:H73"/>
    <mergeCell ref="I79:J79"/>
    <mergeCell ref="I73:J73"/>
    <mergeCell ref="K73:L73"/>
    <mergeCell ref="B85:C85"/>
    <mergeCell ref="F6:F7"/>
    <mergeCell ref="E33:F33"/>
    <mergeCell ref="L39:N39"/>
    <mergeCell ref="A6:B6"/>
    <mergeCell ref="E3:H3"/>
    <mergeCell ref="K63:L63"/>
    <mergeCell ref="O44:P44"/>
    <mergeCell ref="L34:N34"/>
    <mergeCell ref="O31:P31"/>
    <mergeCell ref="L49:N49"/>
    <mergeCell ref="E90:F90"/>
    <mergeCell ref="L36:N36"/>
    <mergeCell ref="G65:H65"/>
    <mergeCell ref="A87:P87"/>
    <mergeCell ref="G60:H60"/>
    <mergeCell ref="I60:J60"/>
    <mergeCell ref="B72:C72"/>
    <mergeCell ref="E35:F35"/>
    <mergeCell ref="G53:H53"/>
    <mergeCell ref="G74:H74"/>
    <mergeCell ref="I3:J3"/>
    <mergeCell ref="K59:L59"/>
    <mergeCell ref="I68:J68"/>
    <mergeCell ref="I67:J67"/>
    <mergeCell ref="I24:P24"/>
    <mergeCell ref="K61:L61"/>
    <mergeCell ref="A54:P54"/>
    <mergeCell ref="K62:L62"/>
    <mergeCell ref="A110:B110"/>
    <mergeCell ref="A16:B16"/>
    <mergeCell ref="B48:C48"/>
    <mergeCell ref="M58:P58"/>
    <mergeCell ref="A108:B108"/>
    <mergeCell ref="A18:B18"/>
    <mergeCell ref="B73:C73"/>
    <mergeCell ref="K77:L77"/>
    <mergeCell ref="A55:C56"/>
    <mergeCell ref="B74:C74"/>
    <mergeCell ref="B68:C68"/>
    <mergeCell ref="M84:P84"/>
    <mergeCell ref="G31:H31"/>
    <mergeCell ref="M86:P86"/>
    <mergeCell ref="M80:P80"/>
    <mergeCell ref="L33:N33"/>
    <mergeCell ref="A98:B98"/>
    <mergeCell ref="A17:P17"/>
    <mergeCell ref="L35:N35"/>
    <mergeCell ref="E51:F51"/>
    <mergeCell ref="B67:C67"/>
    <mergeCell ref="G57:H57"/>
    <mergeCell ref="B61:C61"/>
    <mergeCell ref="O41:P41"/>
    <mergeCell ref="K3:P3"/>
    <mergeCell ref="M78:P78"/>
    <mergeCell ref="O47:P47"/>
    <mergeCell ref="A96:B96"/>
    <mergeCell ref="E41:F41"/>
    <mergeCell ref="G41:H41"/>
    <mergeCell ref="B45:C45"/>
    <mergeCell ref="G56:H56"/>
    <mergeCell ref="E43:F43"/>
    <mergeCell ref="G43:H43"/>
    <mergeCell ref="B47:C47"/>
    <mergeCell ref="B59:C59"/>
    <mergeCell ref="B46:C46"/>
    <mergeCell ref="C15:P15"/>
    <mergeCell ref="O33:P33"/>
    <mergeCell ref="G36:H36"/>
    <mergeCell ref="L45:N45"/>
    <mergeCell ref="O35:P35"/>
    <mergeCell ref="B69:C69"/>
    <mergeCell ref="L46:N46"/>
    <mergeCell ref="O43:P43"/>
    <mergeCell ref="M70:P70"/>
    <mergeCell ref="G58:H58"/>
    <mergeCell ref="A7:B7"/>
    <mergeCell ref="K2:P2"/>
    <mergeCell ref="A89:B89"/>
    <mergeCell ref="E40:F40"/>
    <mergeCell ref="A105:B105"/>
    <mergeCell ref="E104:F104"/>
    <mergeCell ref="G33:H33"/>
    <mergeCell ref="B37:C37"/>
    <mergeCell ref="M64:P64"/>
    <mergeCell ref="A8:B8"/>
    <mergeCell ref="G35:H35"/>
    <mergeCell ref="A100:B100"/>
    <mergeCell ref="M65:P65"/>
    <mergeCell ref="A10:B10"/>
    <mergeCell ref="L37:N37"/>
    <mergeCell ref="K66:L66"/>
    <mergeCell ref="A102:B102"/>
    <mergeCell ref="A21:P21"/>
    <mergeCell ref="I74:J74"/>
    <mergeCell ref="K74:L74"/>
    <mergeCell ref="K68:L68"/>
    <mergeCell ref="A32:P32"/>
    <mergeCell ref="A2:B3"/>
    <mergeCell ref="M5:N5"/>
    <mergeCell ref="B71:C71"/>
    <mergeCell ref="A99:B99"/>
    <mergeCell ref="I71:J71"/>
    <mergeCell ref="I58:J58"/>
    <mergeCell ref="K58:L58"/>
    <mergeCell ref="A101:B101"/>
    <mergeCell ref="I83:J83"/>
    <mergeCell ref="B49:C49"/>
    <mergeCell ref="E91:F91"/>
    <mergeCell ref="G85:H85"/>
    <mergeCell ref="G84:H84"/>
    <mergeCell ref="B63:C63"/>
    <mergeCell ref="E93:F93"/>
    <mergeCell ref="I84:J84"/>
    <mergeCell ref="K78:L78"/>
    <mergeCell ref="G86:H86"/>
    <mergeCell ref="I86:J86"/>
    <mergeCell ref="I80:J80"/>
    <mergeCell ref="B57:C57"/>
    <mergeCell ref="E109:F109"/>
    <mergeCell ref="E47:F47"/>
    <mergeCell ref="G72:H72"/>
    <mergeCell ref="M61:P61"/>
    <mergeCell ref="B77:C77"/>
    <mergeCell ref="M62:P62"/>
    <mergeCell ref="B58:C58"/>
    <mergeCell ref="B52:C52"/>
    <mergeCell ref="E107:F107"/>
    <mergeCell ref="M83:P83"/>
    <mergeCell ref="B60:C60"/>
    <mergeCell ref="L48:N48"/>
    <mergeCell ref="A109:B109"/>
    <mergeCell ref="B64:C64"/>
    <mergeCell ref="M74:P74"/>
    <mergeCell ref="A92:B92"/>
    <mergeCell ref="E106:F106"/>
    <mergeCell ref="A95:B95"/>
    <mergeCell ref="A97:B97"/>
    <mergeCell ref="G82:H82"/>
    <mergeCell ref="M66:P66"/>
    <mergeCell ref="I75:J75"/>
    <mergeCell ref="K75:L75"/>
    <mergeCell ref="G83:H83"/>
    <mergeCell ref="I6:J7"/>
    <mergeCell ref="K6:L7"/>
    <mergeCell ref="K70:L70"/>
    <mergeCell ref="I78:J78"/>
    <mergeCell ref="I26:P26"/>
    <mergeCell ref="C23:P23"/>
    <mergeCell ref="C24:H24"/>
    <mergeCell ref="G81:H81"/>
    <mergeCell ref="I81:J81"/>
    <mergeCell ref="C25:H25"/>
    <mergeCell ref="G29:J29"/>
    <mergeCell ref="K80:L80"/>
    <mergeCell ref="C18:P20"/>
    <mergeCell ref="L51:N51"/>
    <mergeCell ref="E30:P30"/>
    <mergeCell ref="K79:L79"/>
    <mergeCell ref="B36:C36"/>
    <mergeCell ref="E37:F37"/>
    <mergeCell ref="L43:N43"/>
    <mergeCell ref="E46:F46"/>
    <mergeCell ref="C16:P16"/>
    <mergeCell ref="G37:H37"/>
    <mergeCell ref="M68:P68"/>
    <mergeCell ref="M67:P67"/>
    <mergeCell ref="A1:P1"/>
    <mergeCell ref="A31:C31"/>
    <mergeCell ref="O51:P51"/>
    <mergeCell ref="B84:C84"/>
    <mergeCell ref="E110:F110"/>
    <mergeCell ref="C12:P14"/>
    <mergeCell ref="G76:H76"/>
    <mergeCell ref="B80:C80"/>
    <mergeCell ref="I59:J59"/>
    <mergeCell ref="B79:C79"/>
    <mergeCell ref="B81:C81"/>
    <mergeCell ref="A4:P4"/>
    <mergeCell ref="E92:F92"/>
    <mergeCell ref="K29:L29"/>
    <mergeCell ref="E29:F29"/>
    <mergeCell ref="E94:F94"/>
    <mergeCell ref="C10:P10"/>
    <mergeCell ref="L40:N40"/>
    <mergeCell ref="G69:H69"/>
    <mergeCell ref="E31:F31"/>
    <mergeCell ref="E108:F108"/>
    <mergeCell ref="I62:J62"/>
    <mergeCell ref="B34:C34"/>
    <mergeCell ref="E95:F95"/>
    <mergeCell ref="A111:I111"/>
    <mergeCell ref="M82:P82"/>
    <mergeCell ref="O40:P40"/>
    <mergeCell ref="L47:N47"/>
    <mergeCell ref="E53:F53"/>
    <mergeCell ref="G59:H59"/>
    <mergeCell ref="M85:P85"/>
    <mergeCell ref="A103:B103"/>
    <mergeCell ref="G67:H67"/>
    <mergeCell ref="G61:H61"/>
    <mergeCell ref="E48:F48"/>
    <mergeCell ref="I61:J61"/>
    <mergeCell ref="O45:P45"/>
    <mergeCell ref="G48:H48"/>
    <mergeCell ref="L50:N50"/>
    <mergeCell ref="G62:H62"/>
    <mergeCell ref="B53:C53"/>
    <mergeCell ref="I56:J56"/>
    <mergeCell ref="L52:N52"/>
    <mergeCell ref="K56:L56"/>
    <mergeCell ref="O46:P46"/>
    <mergeCell ref="E89:F89"/>
    <mergeCell ref="G64:H64"/>
    <mergeCell ref="I64:J64"/>
    <mergeCell ref="A15:B15"/>
    <mergeCell ref="L42:N42"/>
    <mergeCell ref="A107:B107"/>
    <mergeCell ref="G71:H71"/>
    <mergeCell ref="M72:P72"/>
    <mergeCell ref="A28:P28"/>
    <mergeCell ref="K81:L81"/>
    <mergeCell ref="M59:P59"/>
    <mergeCell ref="G66:H66"/>
    <mergeCell ref="I66:J66"/>
    <mergeCell ref="B78:C78"/>
    <mergeCell ref="G68:H68"/>
    <mergeCell ref="A29:C29"/>
    <mergeCell ref="C22:P22"/>
    <mergeCell ref="O48:P48"/>
    <mergeCell ref="G51:H51"/>
    <mergeCell ref="M75:P75"/>
    <mergeCell ref="B76:C76"/>
    <mergeCell ref="L53:N53"/>
    <mergeCell ref="K57:L57"/>
    <mergeCell ref="I65:J65"/>
    <mergeCell ref="E42:F42"/>
    <mergeCell ref="E88:F88"/>
    <mergeCell ref="E97:F97"/>
  </mergeCells>
  <phoneticPr fontId="39" type="noConversion"/>
  <conditionalFormatting sqref="P89:P110">
    <cfRule type="cellIs" dxfId="4" priority="2" operator="notEqual">
      <formula>$J89</formula>
    </cfRule>
  </conditionalFormatting>
  <dataValidations count="6">
    <dataValidation type="list" allowBlank="1" showInputMessage="1" showErrorMessage="1" sqref="E22:O23" xr:uid="{00000000-0002-0000-0600-000000000000}">
      <formula1>"O,X"</formula1>
      <formula2>0</formula2>
    </dataValidation>
    <dataValidation type="list" allowBlank="1" showInputMessage="1" showErrorMessage="1" sqref="E29:G29" xr:uid="{00000000-0002-0000-0600-000001000000}">
      <formula1>"Gender,Disaster risk management ,Others"</formula1>
      <formula2>0</formula2>
    </dataValidation>
    <dataValidation type="list" allowBlank="1" showInputMessage="1" showErrorMessage="1" sqref="A89:B110" xr:uid="{00000000-0002-0000-0600-000002000000}">
      <formula1>Economic_Empowerment_Output</formula1>
      <formula2>0</formula2>
    </dataValidation>
    <dataValidation type="list" allowBlank="1" showInputMessage="1" showErrorMessage="1" sqref="C89:C110" xr:uid="{00000000-0002-0000-0600-000003000000}">
      <formula1>Economic_Empowerment_Activity</formula1>
      <formula2>0</formula2>
    </dataValidation>
    <dataValidation type="list" allowBlank="1" showInputMessage="1" showErrorMessage="1" sqref="E39:F53" xr:uid="{00000000-0002-0000-0600-000004000000}">
      <formula1>economy_output_indicator</formula1>
      <formula2>0</formula2>
    </dataValidation>
    <dataValidation type="list" allowBlank="1" showInputMessage="1" showErrorMessage="1" sqref="E33:E37 F34:F35" xr:uid="{79A22F10-6AA0-4C0C-9ACC-3D1E390211C8}">
      <formula1>economy_outcome_indicator</formula1>
    </dataValidation>
  </dataValidations>
  <pageMargins left="0.7" right="0.7" top="0.75" bottom="0.75" header="0.511811023622047" footer="0.511811023622047"/>
  <pageSetup paperSize="9" scale="31" orientation="portrait" horizontalDpi="300" verticalDpi="300" r:id="rId1"/>
  <rowBreaks count="1" manualBreakCount="1">
    <brk id="20"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10"/>
  <sheetViews>
    <sheetView view="pageBreakPreview" topLeftCell="A19" zoomScale="55" zoomScaleNormal="100" zoomScaleSheetLayoutView="55" zoomScalePageLayoutView="70" workbookViewId="0">
      <selection activeCell="K35" sqref="K35"/>
    </sheetView>
  </sheetViews>
  <sheetFormatPr defaultColWidth="8.69921875" defaultRowHeight="13.8" outlineLevelRow="1"/>
  <cols>
    <col min="1" max="1" width="6.69921875" style="71" customWidth="1"/>
    <col min="2" max="2" width="25.3984375" style="23" customWidth="1"/>
    <col min="3" max="3" width="34.69921875" style="71" customWidth="1"/>
    <col min="4" max="4" width="6.8984375" style="71" hidden="1" customWidth="1"/>
    <col min="5" max="5" width="30.3984375" style="71" customWidth="1"/>
    <col min="6" max="6" width="25.69921875" style="71" customWidth="1"/>
    <col min="7" max="16" width="13.19921875" style="71" customWidth="1"/>
    <col min="17" max="18" width="8.69921875" style="71" customWidth="1"/>
    <col min="19" max="16384" width="8.69921875" style="71"/>
  </cols>
  <sheetData>
    <row r="1" spans="1:16" ht="19.5" customHeight="1">
      <c r="A1" s="229" t="s">
        <v>239</v>
      </c>
      <c r="B1" s="178"/>
      <c r="C1" s="178"/>
      <c r="D1" s="178"/>
      <c r="E1" s="178"/>
      <c r="F1" s="178"/>
      <c r="G1" s="178"/>
      <c r="H1" s="178"/>
      <c r="I1" s="178"/>
      <c r="J1" s="178"/>
      <c r="K1" s="178"/>
      <c r="L1" s="178"/>
      <c r="M1" s="178"/>
      <c r="N1" s="178"/>
      <c r="O1" s="178"/>
      <c r="P1" s="179"/>
    </row>
    <row r="2" spans="1:16" ht="19.5" customHeight="1" outlineLevel="1">
      <c r="A2" s="232" t="s">
        <v>74</v>
      </c>
      <c r="B2" s="208"/>
      <c r="C2" s="87" t="s">
        <v>75</v>
      </c>
      <c r="D2" s="87"/>
      <c r="E2" s="205"/>
      <c r="F2" s="178"/>
      <c r="G2" s="178"/>
      <c r="H2" s="179"/>
      <c r="I2" s="215" t="s">
        <v>76</v>
      </c>
      <c r="J2" s="179"/>
      <c r="K2" s="234"/>
      <c r="L2" s="178"/>
      <c r="M2" s="178"/>
      <c r="N2" s="178"/>
      <c r="O2" s="178"/>
      <c r="P2" s="179"/>
    </row>
    <row r="3" spans="1:16" ht="19.5" customHeight="1" outlineLevel="1">
      <c r="A3" s="210"/>
      <c r="B3" s="212"/>
      <c r="C3" s="87" t="s">
        <v>77</v>
      </c>
      <c r="D3" s="87"/>
      <c r="E3" s="205"/>
      <c r="F3" s="178"/>
      <c r="G3" s="178"/>
      <c r="H3" s="179"/>
      <c r="I3" s="215" t="s">
        <v>78</v>
      </c>
      <c r="J3" s="179"/>
      <c r="K3" s="234"/>
      <c r="L3" s="178"/>
      <c r="M3" s="178"/>
      <c r="N3" s="178"/>
      <c r="O3" s="178"/>
      <c r="P3" s="179"/>
    </row>
    <row r="4" spans="1:16" ht="19.5" customHeight="1" outlineLevel="1">
      <c r="A4" s="204" t="s">
        <v>79</v>
      </c>
      <c r="B4" s="178"/>
      <c r="C4" s="178"/>
      <c r="D4" s="178"/>
      <c r="E4" s="178"/>
      <c r="F4" s="178"/>
      <c r="G4" s="178"/>
      <c r="H4" s="178"/>
      <c r="I4" s="178"/>
      <c r="J4" s="178"/>
      <c r="K4" s="178"/>
      <c r="L4" s="178"/>
      <c r="M4" s="178"/>
      <c r="N4" s="178"/>
      <c r="O4" s="178"/>
      <c r="P4" s="179"/>
    </row>
    <row r="5" spans="1:16" ht="31.5" customHeight="1" outlineLevel="1">
      <c r="A5" s="237"/>
      <c r="B5" s="179"/>
      <c r="C5" s="225"/>
      <c r="D5" s="179"/>
      <c r="E5" s="119"/>
      <c r="F5" s="119"/>
      <c r="G5" s="225"/>
      <c r="H5" s="179"/>
      <c r="I5" s="225"/>
      <c r="J5" s="179"/>
      <c r="K5" s="237"/>
      <c r="L5" s="179"/>
      <c r="M5" s="237"/>
      <c r="N5" s="179"/>
      <c r="O5" s="237"/>
      <c r="P5" s="179"/>
    </row>
    <row r="6" spans="1:16" ht="28.5" customHeight="1" outlineLevel="1">
      <c r="A6" s="241"/>
      <c r="B6" s="179"/>
      <c r="C6" s="131"/>
      <c r="D6" s="120"/>
      <c r="E6" s="121"/>
      <c r="F6" s="121"/>
      <c r="G6" s="230"/>
      <c r="H6" s="208"/>
      <c r="I6" s="230"/>
      <c r="J6" s="208"/>
      <c r="K6" s="230"/>
      <c r="L6" s="208"/>
      <c r="M6" s="230"/>
      <c r="N6" s="208"/>
      <c r="O6" s="230"/>
      <c r="P6" s="208"/>
    </row>
    <row r="7" spans="1:16" ht="58.2" customHeight="1" outlineLevel="1">
      <c r="A7" s="233" t="s">
        <v>89</v>
      </c>
      <c r="B7" s="179"/>
      <c r="C7" s="236" t="s">
        <v>90</v>
      </c>
      <c r="D7" s="178"/>
      <c r="E7" s="178"/>
      <c r="F7" s="178"/>
      <c r="G7" s="178"/>
      <c r="H7" s="178"/>
      <c r="I7" s="178"/>
      <c r="J7" s="178"/>
      <c r="K7" s="178"/>
      <c r="L7" s="178"/>
      <c r="M7" s="178"/>
      <c r="N7" s="178"/>
      <c r="O7" s="178"/>
      <c r="P7" s="179"/>
    </row>
    <row r="8" spans="1:16" ht="19.5" customHeight="1" outlineLevel="1">
      <c r="A8" s="204" t="s">
        <v>91</v>
      </c>
      <c r="B8" s="178"/>
      <c r="C8" s="178"/>
      <c r="D8" s="178"/>
      <c r="E8" s="178"/>
      <c r="F8" s="178"/>
      <c r="G8" s="178"/>
      <c r="H8" s="178"/>
      <c r="I8" s="178"/>
      <c r="J8" s="178"/>
      <c r="K8" s="178"/>
      <c r="L8" s="178"/>
      <c r="M8" s="178"/>
      <c r="N8" s="178"/>
      <c r="O8" s="178"/>
      <c r="P8" s="179"/>
    </row>
    <row r="9" spans="1:16" ht="129.75" customHeight="1" outlineLevel="1">
      <c r="A9" s="232" t="s">
        <v>240</v>
      </c>
      <c r="B9" s="179"/>
      <c r="C9" s="246" t="s">
        <v>241</v>
      </c>
      <c r="D9" s="178"/>
      <c r="E9" s="178"/>
      <c r="F9" s="178"/>
      <c r="G9" s="178"/>
      <c r="H9" s="178"/>
      <c r="I9" s="178"/>
      <c r="J9" s="178"/>
      <c r="K9" s="178"/>
      <c r="L9" s="178"/>
      <c r="M9" s="178"/>
      <c r="N9" s="178"/>
      <c r="O9" s="178"/>
      <c r="P9" s="179"/>
    </row>
    <row r="10" spans="1:16" ht="19.5" customHeight="1" outlineLevel="1">
      <c r="A10" s="235" t="s">
        <v>94</v>
      </c>
      <c r="B10" s="178"/>
      <c r="C10" s="178"/>
      <c r="D10" s="178"/>
      <c r="E10" s="178"/>
      <c r="F10" s="178"/>
      <c r="G10" s="178"/>
      <c r="H10" s="178"/>
      <c r="I10" s="178"/>
      <c r="J10" s="178"/>
      <c r="K10" s="178"/>
      <c r="L10" s="178"/>
      <c r="M10" s="178"/>
      <c r="N10" s="178"/>
      <c r="O10" s="178"/>
      <c r="P10" s="179"/>
    </row>
    <row r="11" spans="1:16" ht="99.75" customHeight="1" outlineLevel="1">
      <c r="A11" s="215" t="s">
        <v>95</v>
      </c>
      <c r="B11" s="179"/>
      <c r="C11" s="195" t="s">
        <v>96</v>
      </c>
      <c r="D11" s="207"/>
      <c r="E11" s="207"/>
      <c r="F11" s="207"/>
      <c r="G11" s="207"/>
      <c r="H11" s="207"/>
      <c r="I11" s="207"/>
      <c r="J11" s="207"/>
      <c r="K11" s="207"/>
      <c r="L11" s="207"/>
      <c r="M11" s="207"/>
      <c r="N11" s="207"/>
      <c r="O11" s="207"/>
      <c r="P11" s="208"/>
    </row>
    <row r="12" spans="1:16" ht="99.75" customHeight="1" outlineLevel="1">
      <c r="A12" s="215" t="s">
        <v>97</v>
      </c>
      <c r="B12" s="179"/>
      <c r="C12" s="209"/>
      <c r="D12" s="186"/>
      <c r="E12" s="186"/>
      <c r="F12" s="186"/>
      <c r="G12" s="186"/>
      <c r="H12" s="186"/>
      <c r="I12" s="186"/>
      <c r="J12" s="186"/>
      <c r="K12" s="186"/>
      <c r="L12" s="186"/>
      <c r="M12" s="186"/>
      <c r="N12" s="186"/>
      <c r="O12" s="186"/>
      <c r="P12" s="176"/>
    </row>
    <row r="13" spans="1:16" ht="99.75" customHeight="1" outlineLevel="1">
      <c r="A13" s="215" t="s">
        <v>98</v>
      </c>
      <c r="B13" s="179"/>
      <c r="C13" s="210"/>
      <c r="D13" s="211"/>
      <c r="E13" s="211"/>
      <c r="F13" s="211"/>
      <c r="G13" s="211"/>
      <c r="H13" s="211"/>
      <c r="I13" s="211"/>
      <c r="J13" s="211"/>
      <c r="K13" s="211"/>
      <c r="L13" s="211"/>
      <c r="M13" s="211"/>
      <c r="N13" s="211"/>
      <c r="O13" s="211"/>
      <c r="P13" s="212"/>
    </row>
    <row r="14" spans="1:16" ht="231" customHeight="1" outlineLevel="1">
      <c r="A14" s="247" t="s">
        <v>99</v>
      </c>
      <c r="B14" s="208"/>
      <c r="C14" s="220" t="s">
        <v>100</v>
      </c>
      <c r="D14" s="207"/>
      <c r="E14" s="207"/>
      <c r="F14" s="207"/>
      <c r="G14" s="207"/>
      <c r="H14" s="207"/>
      <c r="I14" s="207"/>
      <c r="J14" s="207"/>
      <c r="K14" s="207"/>
      <c r="L14" s="207"/>
      <c r="M14" s="207"/>
      <c r="N14" s="207"/>
      <c r="O14" s="207"/>
      <c r="P14" s="208"/>
    </row>
    <row r="15" spans="1:16" ht="231" customHeight="1" outlineLevel="1">
      <c r="A15" s="245" t="s">
        <v>101</v>
      </c>
      <c r="B15" s="179"/>
      <c r="C15" s="242" t="s">
        <v>102</v>
      </c>
      <c r="D15" s="178"/>
      <c r="E15" s="178"/>
      <c r="F15" s="178"/>
      <c r="G15" s="178"/>
      <c r="H15" s="178"/>
      <c r="I15" s="178"/>
      <c r="J15" s="178"/>
      <c r="K15" s="178"/>
      <c r="L15" s="178"/>
      <c r="M15" s="178"/>
      <c r="N15" s="178"/>
      <c r="O15" s="178"/>
      <c r="P15" s="179"/>
    </row>
    <row r="16" spans="1:16" ht="19.5" customHeight="1" outlineLevel="1">
      <c r="A16" s="235" t="s">
        <v>103</v>
      </c>
      <c r="B16" s="178"/>
      <c r="C16" s="178"/>
      <c r="D16" s="178"/>
      <c r="E16" s="178"/>
      <c r="F16" s="178"/>
      <c r="G16" s="178"/>
      <c r="H16" s="178"/>
      <c r="I16" s="178"/>
      <c r="J16" s="178"/>
      <c r="K16" s="178"/>
      <c r="L16" s="178"/>
      <c r="M16" s="178"/>
      <c r="N16" s="178"/>
      <c r="O16" s="178"/>
      <c r="P16" s="179"/>
    </row>
    <row r="17" spans="1:16" ht="105.75" customHeight="1" outlineLevel="1">
      <c r="A17" s="215" t="s">
        <v>104</v>
      </c>
      <c r="B17" s="179"/>
      <c r="C17" s="195" t="s">
        <v>105</v>
      </c>
      <c r="D17" s="207"/>
      <c r="E17" s="207"/>
      <c r="F17" s="207"/>
      <c r="G17" s="207"/>
      <c r="H17" s="207"/>
      <c r="I17" s="207"/>
      <c r="J17" s="207"/>
      <c r="K17" s="207"/>
      <c r="L17" s="207"/>
      <c r="M17" s="207"/>
      <c r="N17" s="207"/>
      <c r="O17" s="207"/>
      <c r="P17" s="208"/>
    </row>
    <row r="18" spans="1:16" ht="99.75" customHeight="1" outlineLevel="1">
      <c r="A18" s="215" t="s">
        <v>106</v>
      </c>
      <c r="B18" s="179"/>
      <c r="C18" s="209"/>
      <c r="D18" s="186"/>
      <c r="E18" s="186"/>
      <c r="F18" s="186"/>
      <c r="G18" s="186"/>
      <c r="H18" s="186"/>
      <c r="I18" s="186"/>
      <c r="J18" s="186"/>
      <c r="K18" s="186"/>
      <c r="L18" s="186"/>
      <c r="M18" s="186"/>
      <c r="N18" s="186"/>
      <c r="O18" s="186"/>
      <c r="P18" s="176"/>
    </row>
    <row r="19" spans="1:16" ht="99.75" customHeight="1" outlineLevel="1">
      <c r="A19" s="215" t="s">
        <v>107</v>
      </c>
      <c r="B19" s="179"/>
      <c r="C19" s="210"/>
      <c r="D19" s="211"/>
      <c r="E19" s="211"/>
      <c r="F19" s="211"/>
      <c r="G19" s="211"/>
      <c r="H19" s="211"/>
      <c r="I19" s="211"/>
      <c r="J19" s="211"/>
      <c r="K19" s="211"/>
      <c r="L19" s="211"/>
      <c r="M19" s="211"/>
      <c r="N19" s="211"/>
      <c r="O19" s="211"/>
      <c r="P19" s="212"/>
    </row>
    <row r="20" spans="1:16" ht="19.5" customHeight="1">
      <c r="A20" s="235" t="s">
        <v>108</v>
      </c>
      <c r="B20" s="178"/>
      <c r="C20" s="178"/>
      <c r="D20" s="178"/>
      <c r="E20" s="178"/>
      <c r="F20" s="178"/>
      <c r="G20" s="178"/>
      <c r="H20" s="178"/>
      <c r="I20" s="178"/>
      <c r="J20" s="178"/>
      <c r="K20" s="178"/>
      <c r="L20" s="178"/>
      <c r="M20" s="178"/>
      <c r="N20" s="178"/>
      <c r="O20" s="178"/>
      <c r="P20" s="179"/>
    </row>
    <row r="21" spans="1:16" ht="19.5" customHeight="1">
      <c r="A21" s="232" t="s">
        <v>109</v>
      </c>
      <c r="B21" s="208"/>
      <c r="C21" s="215" t="s">
        <v>110</v>
      </c>
      <c r="D21" s="178"/>
      <c r="E21" s="178"/>
      <c r="F21" s="178"/>
      <c r="G21" s="178"/>
      <c r="H21" s="178"/>
      <c r="I21" s="178"/>
      <c r="J21" s="178"/>
      <c r="K21" s="178"/>
      <c r="L21" s="178"/>
      <c r="M21" s="178"/>
      <c r="N21" s="178"/>
      <c r="O21" s="178"/>
      <c r="P21" s="179"/>
    </row>
    <row r="22" spans="1:16" ht="19.5" customHeight="1">
      <c r="A22" s="209"/>
      <c r="B22" s="176"/>
      <c r="C22" s="226"/>
      <c r="D22" s="178"/>
      <c r="E22" s="178"/>
      <c r="F22" s="178"/>
      <c r="G22" s="178"/>
      <c r="H22" s="178"/>
      <c r="I22" s="178"/>
      <c r="J22" s="178"/>
      <c r="K22" s="178"/>
      <c r="L22" s="178"/>
      <c r="M22" s="178"/>
      <c r="N22" s="178"/>
      <c r="O22" s="178"/>
      <c r="P22" s="179"/>
    </row>
    <row r="23" spans="1:16" ht="19.5" customHeight="1">
      <c r="A23" s="209"/>
      <c r="B23" s="176"/>
      <c r="C23" s="215" t="s">
        <v>111</v>
      </c>
      <c r="D23" s="178"/>
      <c r="E23" s="178"/>
      <c r="F23" s="178"/>
      <c r="G23" s="178"/>
      <c r="H23" s="179"/>
      <c r="I23" s="215" t="s">
        <v>112</v>
      </c>
      <c r="J23" s="178"/>
      <c r="K23" s="178"/>
      <c r="L23" s="178"/>
      <c r="M23" s="178"/>
      <c r="N23" s="178"/>
      <c r="O23" s="178"/>
      <c r="P23" s="179"/>
    </row>
    <row r="24" spans="1:16" ht="19.5" customHeight="1">
      <c r="A24" s="209"/>
      <c r="B24" s="176"/>
      <c r="C24" s="231"/>
      <c r="D24" s="178"/>
      <c r="E24" s="178"/>
      <c r="F24" s="178"/>
      <c r="G24" s="178"/>
      <c r="H24" s="179"/>
      <c r="I24" s="226"/>
      <c r="J24" s="178"/>
      <c r="K24" s="178"/>
      <c r="L24" s="178"/>
      <c r="M24" s="178"/>
      <c r="N24" s="178"/>
      <c r="O24" s="178"/>
      <c r="P24" s="179"/>
    </row>
    <row r="25" spans="1:16" ht="19.5" customHeight="1">
      <c r="A25" s="209"/>
      <c r="B25" s="176"/>
      <c r="C25" s="231"/>
      <c r="D25" s="178"/>
      <c r="E25" s="178"/>
      <c r="F25" s="178"/>
      <c r="G25" s="178"/>
      <c r="H25" s="179"/>
      <c r="I25" s="226"/>
      <c r="J25" s="178"/>
      <c r="K25" s="178"/>
      <c r="L25" s="178"/>
      <c r="M25" s="178"/>
      <c r="N25" s="178"/>
      <c r="O25" s="178"/>
      <c r="P25" s="179"/>
    </row>
    <row r="26" spans="1:16" ht="19.5" customHeight="1">
      <c r="A26" s="210"/>
      <c r="B26" s="212"/>
      <c r="C26" s="231"/>
      <c r="D26" s="178"/>
      <c r="E26" s="178"/>
      <c r="F26" s="178"/>
      <c r="G26" s="178"/>
      <c r="H26" s="179"/>
      <c r="I26" s="226"/>
      <c r="J26" s="178"/>
      <c r="K26" s="178"/>
      <c r="L26" s="178"/>
      <c r="M26" s="178"/>
      <c r="N26" s="178"/>
      <c r="O26" s="178"/>
      <c r="P26" s="179"/>
    </row>
    <row r="27" spans="1:16" ht="19.5" customHeight="1">
      <c r="A27" s="204" t="s">
        <v>113</v>
      </c>
      <c r="B27" s="178"/>
      <c r="C27" s="178"/>
      <c r="D27" s="178"/>
      <c r="E27" s="178"/>
      <c r="F27" s="178"/>
      <c r="G27" s="178"/>
      <c r="H27" s="178"/>
      <c r="I27" s="178"/>
      <c r="J27" s="178"/>
      <c r="K27" s="178"/>
      <c r="L27" s="178"/>
      <c r="M27" s="178"/>
      <c r="N27" s="178"/>
      <c r="O27" s="178"/>
      <c r="P27" s="179"/>
    </row>
    <row r="28" spans="1:16" ht="20.25" customHeight="1">
      <c r="A28" s="215" t="s">
        <v>114</v>
      </c>
      <c r="B28" s="178"/>
      <c r="C28" s="179"/>
      <c r="D28" s="79"/>
      <c r="E28" s="231"/>
      <c r="F28" s="179"/>
      <c r="G28" s="231"/>
      <c r="H28" s="178"/>
      <c r="I28" s="178"/>
      <c r="J28" s="179"/>
      <c r="K28" s="215" t="s">
        <v>88</v>
      </c>
      <c r="L28" s="179"/>
      <c r="M28" s="238"/>
      <c r="N28" s="178"/>
      <c r="O28" s="178"/>
      <c r="P28" s="179"/>
    </row>
    <row r="29" spans="1:16" ht="20.25" customHeight="1">
      <c r="A29" s="215" t="s">
        <v>115</v>
      </c>
      <c r="B29" s="178"/>
      <c r="C29" s="179"/>
      <c r="D29" s="79"/>
      <c r="E29" s="215" t="s">
        <v>116</v>
      </c>
      <c r="F29" s="178"/>
      <c r="G29" s="178"/>
      <c r="H29" s="178"/>
      <c r="I29" s="178"/>
      <c r="J29" s="178"/>
      <c r="K29" s="178"/>
      <c r="L29" s="178"/>
      <c r="M29" s="178"/>
      <c r="N29" s="178"/>
      <c r="O29" s="178"/>
      <c r="P29" s="179"/>
    </row>
    <row r="30" spans="1:16" ht="19.5" customHeight="1">
      <c r="A30" s="227" t="s">
        <v>117</v>
      </c>
      <c r="B30" s="178"/>
      <c r="C30" s="179"/>
      <c r="D30" s="85"/>
      <c r="E30" s="227" t="s">
        <v>118</v>
      </c>
      <c r="F30" s="179"/>
      <c r="G30" s="200" t="s">
        <v>119</v>
      </c>
      <c r="H30" s="179"/>
      <c r="I30" s="76" t="s">
        <v>120</v>
      </c>
      <c r="J30" s="85" t="s">
        <v>121</v>
      </c>
      <c r="K30" s="85" t="s">
        <v>122</v>
      </c>
      <c r="L30" s="227" t="s">
        <v>123</v>
      </c>
      <c r="M30" s="178"/>
      <c r="N30" s="179"/>
      <c r="O30" s="227" t="s">
        <v>124</v>
      </c>
      <c r="P30" s="179"/>
    </row>
    <row r="31" spans="1:16" ht="19.5" customHeight="1">
      <c r="A31" s="239" t="s">
        <v>125</v>
      </c>
      <c r="B31" s="178"/>
      <c r="C31" s="178"/>
      <c r="D31" s="178"/>
      <c r="E31" s="178"/>
      <c r="F31" s="178"/>
      <c r="G31" s="178"/>
      <c r="H31" s="178"/>
      <c r="I31" s="178"/>
      <c r="J31" s="178"/>
      <c r="K31" s="178"/>
      <c r="L31" s="178"/>
      <c r="M31" s="178"/>
      <c r="N31" s="178"/>
      <c r="O31" s="178"/>
      <c r="P31" s="179"/>
    </row>
    <row r="32" spans="1:16" ht="19.5" customHeight="1">
      <c r="A32" s="26" t="s">
        <v>126</v>
      </c>
      <c r="B32" s="202"/>
      <c r="C32" s="179"/>
      <c r="D32" s="81"/>
      <c r="E32" s="202"/>
      <c r="F32" s="179"/>
      <c r="G32" s="202"/>
      <c r="H32" s="179"/>
      <c r="I32" s="84"/>
      <c r="J32" s="84"/>
      <c r="K32" s="84"/>
      <c r="L32" s="224"/>
      <c r="M32" s="178"/>
      <c r="N32" s="179"/>
      <c r="O32" s="202"/>
      <c r="P32" s="179"/>
    </row>
    <row r="33" spans="1:16" ht="19.5" customHeight="1">
      <c r="A33" s="26" t="s">
        <v>127</v>
      </c>
      <c r="B33" s="224"/>
      <c r="C33" s="179"/>
      <c r="D33" s="81"/>
      <c r="E33" s="224"/>
      <c r="F33" s="179"/>
      <c r="G33" s="202"/>
      <c r="H33" s="179"/>
      <c r="I33" s="84"/>
      <c r="J33" s="84"/>
      <c r="K33" s="84"/>
      <c r="L33" s="224"/>
      <c r="M33" s="178"/>
      <c r="N33" s="179"/>
      <c r="O33" s="202"/>
      <c r="P33" s="179"/>
    </row>
    <row r="34" spans="1:16" ht="19.5" customHeight="1">
      <c r="A34" s="26" t="s">
        <v>128</v>
      </c>
      <c r="B34" s="224"/>
      <c r="C34" s="179"/>
      <c r="D34" s="81"/>
      <c r="E34" s="224"/>
      <c r="F34" s="179"/>
      <c r="G34" s="202"/>
      <c r="H34" s="179"/>
      <c r="I34" s="84"/>
      <c r="J34" s="84"/>
      <c r="K34" s="84"/>
      <c r="L34" s="224"/>
      <c r="M34" s="178"/>
      <c r="N34" s="179"/>
      <c r="O34" s="202"/>
      <c r="P34" s="179"/>
    </row>
    <row r="35" spans="1:16" ht="19.5" customHeight="1">
      <c r="A35" s="26" t="s">
        <v>129</v>
      </c>
      <c r="B35" s="202"/>
      <c r="C35" s="179"/>
      <c r="D35" s="81"/>
      <c r="E35" s="202"/>
      <c r="F35" s="179"/>
      <c r="G35" s="202"/>
      <c r="H35" s="179"/>
      <c r="I35" s="84"/>
      <c r="J35" s="84"/>
      <c r="K35" s="84"/>
      <c r="L35" s="224"/>
      <c r="M35" s="178"/>
      <c r="N35" s="179"/>
      <c r="O35" s="202"/>
      <c r="P35" s="179"/>
    </row>
    <row r="36" spans="1:16" ht="19.5" customHeight="1">
      <c r="A36" s="26" t="s">
        <v>130</v>
      </c>
      <c r="B36" s="202"/>
      <c r="C36" s="179"/>
      <c r="D36" s="81"/>
      <c r="E36" s="202"/>
      <c r="F36" s="179"/>
      <c r="G36" s="202"/>
      <c r="H36" s="179"/>
      <c r="I36" s="84"/>
      <c r="J36" s="84"/>
      <c r="K36" s="84"/>
      <c r="L36" s="224"/>
      <c r="M36" s="178"/>
      <c r="N36" s="179"/>
      <c r="O36" s="202"/>
      <c r="P36" s="179"/>
    </row>
    <row r="37" spans="1:16" ht="19.5" customHeight="1">
      <c r="A37" s="239" t="s">
        <v>131</v>
      </c>
      <c r="B37" s="178"/>
      <c r="C37" s="178"/>
      <c r="D37" s="178"/>
      <c r="E37" s="178"/>
      <c r="F37" s="178"/>
      <c r="G37" s="178"/>
      <c r="H37" s="178"/>
      <c r="I37" s="178"/>
      <c r="J37" s="178"/>
      <c r="K37" s="178"/>
      <c r="L37" s="178"/>
      <c r="M37" s="178"/>
      <c r="N37" s="178"/>
      <c r="O37" s="178"/>
      <c r="P37" s="179"/>
    </row>
    <row r="38" spans="1:16" ht="19.5" customHeight="1">
      <c r="A38" s="26" t="s">
        <v>132</v>
      </c>
      <c r="B38" s="224"/>
      <c r="C38" s="179"/>
      <c r="D38" s="88" t="str">
        <f t="shared" ref="D38:D52" si="0">A38&amp;" "&amp;B38</f>
        <v xml:space="preserve">1.1 </v>
      </c>
      <c r="E38" s="224"/>
      <c r="F38" s="179"/>
      <c r="G38" s="202"/>
      <c r="H38" s="179"/>
      <c r="I38" s="84"/>
      <c r="J38" s="84"/>
      <c r="K38" s="84"/>
      <c r="L38" s="224"/>
      <c r="M38" s="178"/>
      <c r="N38" s="179"/>
      <c r="O38" s="202"/>
      <c r="P38" s="179"/>
    </row>
    <row r="39" spans="1:16" ht="19.5" customHeight="1">
      <c r="A39" s="26" t="s">
        <v>133</v>
      </c>
      <c r="B39" s="224"/>
      <c r="C39" s="179"/>
      <c r="D39" s="88" t="str">
        <f t="shared" si="0"/>
        <v xml:space="preserve">1.2 </v>
      </c>
      <c r="E39" s="224"/>
      <c r="F39" s="179"/>
      <c r="G39" s="202"/>
      <c r="H39" s="179"/>
      <c r="I39" s="84"/>
      <c r="J39" s="84"/>
      <c r="K39" s="84"/>
      <c r="L39" s="224"/>
      <c r="M39" s="178"/>
      <c r="N39" s="179"/>
      <c r="O39" s="202"/>
      <c r="P39" s="179"/>
    </row>
    <row r="40" spans="1:16" ht="19.5" customHeight="1">
      <c r="A40" s="26" t="s">
        <v>134</v>
      </c>
      <c r="B40" s="224"/>
      <c r="C40" s="179"/>
      <c r="D40" s="88" t="str">
        <f t="shared" si="0"/>
        <v xml:space="preserve">1.3 </v>
      </c>
      <c r="E40" s="224"/>
      <c r="F40" s="179"/>
      <c r="G40" s="202"/>
      <c r="H40" s="179"/>
      <c r="I40" s="84"/>
      <c r="J40" s="84"/>
      <c r="K40" s="84"/>
      <c r="L40" s="224"/>
      <c r="M40" s="178"/>
      <c r="N40" s="179"/>
      <c r="O40" s="202"/>
      <c r="P40" s="179"/>
    </row>
    <row r="41" spans="1:16" ht="19.5" customHeight="1">
      <c r="A41" s="26" t="s">
        <v>135</v>
      </c>
      <c r="B41" s="224"/>
      <c r="C41" s="179"/>
      <c r="D41" s="88" t="str">
        <f t="shared" si="0"/>
        <v xml:space="preserve">2.1 </v>
      </c>
      <c r="E41" s="224"/>
      <c r="F41" s="179"/>
      <c r="G41" s="202"/>
      <c r="H41" s="179"/>
      <c r="I41" s="84"/>
      <c r="J41" s="84"/>
      <c r="K41" s="84"/>
      <c r="L41" s="224"/>
      <c r="M41" s="178"/>
      <c r="N41" s="179"/>
      <c r="O41" s="202"/>
      <c r="P41" s="179"/>
    </row>
    <row r="42" spans="1:16" ht="19.5" customHeight="1">
      <c r="A42" s="26" t="s">
        <v>136</v>
      </c>
      <c r="B42" s="224"/>
      <c r="C42" s="179"/>
      <c r="D42" s="88" t="str">
        <f t="shared" si="0"/>
        <v xml:space="preserve">2.2 </v>
      </c>
      <c r="E42" s="224"/>
      <c r="F42" s="179"/>
      <c r="G42" s="202"/>
      <c r="H42" s="179"/>
      <c r="I42" s="84"/>
      <c r="J42" s="84"/>
      <c r="K42" s="84"/>
      <c r="L42" s="224"/>
      <c r="M42" s="178"/>
      <c r="N42" s="179"/>
      <c r="O42" s="202"/>
      <c r="P42" s="179"/>
    </row>
    <row r="43" spans="1:16" ht="19.5" customHeight="1">
      <c r="A43" s="26" t="s">
        <v>137</v>
      </c>
      <c r="B43" s="224"/>
      <c r="C43" s="179"/>
      <c r="D43" s="88" t="str">
        <f t="shared" si="0"/>
        <v xml:space="preserve">2.3 </v>
      </c>
      <c r="E43" s="224"/>
      <c r="F43" s="179"/>
      <c r="G43" s="202"/>
      <c r="H43" s="179"/>
      <c r="I43" s="84"/>
      <c r="J43" s="84"/>
      <c r="K43" s="84"/>
      <c r="L43" s="224"/>
      <c r="M43" s="178"/>
      <c r="N43" s="179"/>
      <c r="O43" s="202"/>
      <c r="P43" s="179"/>
    </row>
    <row r="44" spans="1:16" ht="19.5" customHeight="1">
      <c r="A44" s="26" t="s">
        <v>138</v>
      </c>
      <c r="B44" s="224"/>
      <c r="C44" s="179"/>
      <c r="D44" s="88" t="str">
        <f t="shared" si="0"/>
        <v xml:space="preserve">3.1 </v>
      </c>
      <c r="E44" s="224"/>
      <c r="F44" s="179"/>
      <c r="G44" s="202"/>
      <c r="H44" s="179"/>
      <c r="I44" s="84"/>
      <c r="J44" s="84"/>
      <c r="K44" s="84"/>
      <c r="L44" s="224"/>
      <c r="M44" s="178"/>
      <c r="N44" s="179"/>
      <c r="O44" s="202"/>
      <c r="P44" s="179"/>
    </row>
    <row r="45" spans="1:16" ht="19.5" customHeight="1">
      <c r="A45" s="26" t="s">
        <v>139</v>
      </c>
      <c r="B45" s="224"/>
      <c r="C45" s="179"/>
      <c r="D45" s="88" t="str">
        <f t="shared" si="0"/>
        <v xml:space="preserve">3.2 </v>
      </c>
      <c r="E45" s="224"/>
      <c r="F45" s="179"/>
      <c r="G45" s="202"/>
      <c r="H45" s="179"/>
      <c r="I45" s="84"/>
      <c r="J45" s="84"/>
      <c r="K45" s="84"/>
      <c r="L45" s="224"/>
      <c r="M45" s="178"/>
      <c r="N45" s="179"/>
      <c r="O45" s="202"/>
      <c r="P45" s="179"/>
    </row>
    <row r="46" spans="1:16" ht="19.5" customHeight="1">
      <c r="A46" s="26" t="s">
        <v>140</v>
      </c>
      <c r="B46" s="224"/>
      <c r="C46" s="179"/>
      <c r="D46" s="88" t="str">
        <f t="shared" si="0"/>
        <v xml:space="preserve">3.3 </v>
      </c>
      <c r="E46" s="224"/>
      <c r="F46" s="179"/>
      <c r="G46" s="202"/>
      <c r="H46" s="179"/>
      <c r="I46" s="84"/>
      <c r="J46" s="84"/>
      <c r="K46" s="84"/>
      <c r="L46" s="224"/>
      <c r="M46" s="178"/>
      <c r="N46" s="179"/>
      <c r="O46" s="202"/>
      <c r="P46" s="179"/>
    </row>
    <row r="47" spans="1:16" ht="19.5" customHeight="1">
      <c r="A47" s="26" t="s">
        <v>141</v>
      </c>
      <c r="B47" s="202"/>
      <c r="C47" s="179"/>
      <c r="D47" s="81" t="str">
        <f t="shared" si="0"/>
        <v xml:space="preserve">4.1 </v>
      </c>
      <c r="E47" s="202"/>
      <c r="F47" s="179"/>
      <c r="G47" s="202"/>
      <c r="H47" s="179"/>
      <c r="I47" s="84"/>
      <c r="J47" s="84"/>
      <c r="K47" s="84"/>
      <c r="L47" s="224"/>
      <c r="M47" s="178"/>
      <c r="N47" s="179"/>
      <c r="O47" s="202"/>
      <c r="P47" s="179"/>
    </row>
    <row r="48" spans="1:16" ht="19.5" customHeight="1">
      <c r="A48" s="26" t="s">
        <v>142</v>
      </c>
      <c r="B48" s="202"/>
      <c r="C48" s="179"/>
      <c r="D48" s="81" t="str">
        <f t="shared" si="0"/>
        <v xml:space="preserve">4.2 </v>
      </c>
      <c r="E48" s="202"/>
      <c r="F48" s="179"/>
      <c r="G48" s="202"/>
      <c r="H48" s="179"/>
      <c r="I48" s="84"/>
      <c r="J48" s="84"/>
      <c r="K48" s="84"/>
      <c r="L48" s="224"/>
      <c r="M48" s="178"/>
      <c r="N48" s="179"/>
      <c r="O48" s="202"/>
      <c r="P48" s="179"/>
    </row>
    <row r="49" spans="1:16" ht="19.5" customHeight="1">
      <c r="A49" s="26" t="s">
        <v>143</v>
      </c>
      <c r="B49" s="202"/>
      <c r="C49" s="179"/>
      <c r="D49" s="81" t="str">
        <f t="shared" si="0"/>
        <v xml:space="preserve">4.3 </v>
      </c>
      <c r="E49" s="202"/>
      <c r="F49" s="179"/>
      <c r="G49" s="202"/>
      <c r="H49" s="179"/>
      <c r="I49" s="84"/>
      <c r="J49" s="84"/>
      <c r="K49" s="84"/>
      <c r="L49" s="224"/>
      <c r="M49" s="178"/>
      <c r="N49" s="179"/>
      <c r="O49" s="202"/>
      <c r="P49" s="179"/>
    </row>
    <row r="50" spans="1:16" ht="19.5" customHeight="1">
      <c r="A50" s="26" t="s">
        <v>144</v>
      </c>
      <c r="B50" s="202"/>
      <c r="C50" s="179"/>
      <c r="D50" s="81" t="str">
        <f t="shared" si="0"/>
        <v xml:space="preserve">5.1 </v>
      </c>
      <c r="E50" s="202"/>
      <c r="F50" s="179"/>
      <c r="G50" s="202"/>
      <c r="H50" s="179"/>
      <c r="I50" s="84"/>
      <c r="J50" s="84"/>
      <c r="K50" s="84"/>
      <c r="L50" s="224"/>
      <c r="M50" s="178"/>
      <c r="N50" s="179"/>
      <c r="O50" s="202"/>
      <c r="P50" s="179"/>
    </row>
    <row r="51" spans="1:16" ht="19.5" customHeight="1">
      <c r="A51" s="26" t="s">
        <v>145</v>
      </c>
      <c r="B51" s="202"/>
      <c r="C51" s="179"/>
      <c r="D51" s="81" t="str">
        <f t="shared" si="0"/>
        <v xml:space="preserve">5.2 </v>
      </c>
      <c r="E51" s="202"/>
      <c r="F51" s="179"/>
      <c r="G51" s="202"/>
      <c r="H51" s="179"/>
      <c r="I51" s="84"/>
      <c r="J51" s="84"/>
      <c r="K51" s="84"/>
      <c r="L51" s="224"/>
      <c r="M51" s="178"/>
      <c r="N51" s="179"/>
      <c r="O51" s="202"/>
      <c r="P51" s="179"/>
    </row>
    <row r="52" spans="1:16" ht="19.5" customHeight="1">
      <c r="A52" s="26" t="s">
        <v>146</v>
      </c>
      <c r="B52" s="202"/>
      <c r="C52" s="179"/>
      <c r="D52" s="81" t="str">
        <f t="shared" si="0"/>
        <v xml:space="preserve">5.3 </v>
      </c>
      <c r="E52" s="202"/>
      <c r="F52" s="179"/>
      <c r="G52" s="202"/>
      <c r="H52" s="179"/>
      <c r="I52" s="84"/>
      <c r="J52" s="84"/>
      <c r="K52" s="84"/>
      <c r="L52" s="224"/>
      <c r="M52" s="178"/>
      <c r="N52" s="179"/>
      <c r="O52" s="202"/>
      <c r="P52" s="179"/>
    </row>
    <row r="53" spans="1:16" ht="19.5" customHeight="1">
      <c r="A53" s="204" t="s">
        <v>147</v>
      </c>
      <c r="B53" s="178"/>
      <c r="C53" s="178"/>
      <c r="D53" s="178"/>
      <c r="E53" s="178"/>
      <c r="F53" s="178"/>
      <c r="G53" s="178"/>
      <c r="H53" s="178"/>
      <c r="I53" s="178"/>
      <c r="J53" s="178"/>
      <c r="K53" s="178"/>
      <c r="L53" s="178"/>
      <c r="M53" s="178"/>
      <c r="N53" s="178"/>
      <c r="O53" s="178"/>
      <c r="P53" s="179"/>
    </row>
    <row r="54" spans="1:16" ht="19.5" customHeight="1">
      <c r="A54" s="227" t="s">
        <v>148</v>
      </c>
      <c r="B54" s="207"/>
      <c r="C54" s="208"/>
      <c r="D54" s="85"/>
      <c r="E54" s="227" t="s">
        <v>149</v>
      </c>
      <c r="F54" s="178"/>
      <c r="G54" s="178"/>
      <c r="H54" s="178"/>
      <c r="I54" s="178"/>
      <c r="J54" s="178"/>
      <c r="K54" s="178"/>
      <c r="L54" s="179"/>
      <c r="M54" s="227" t="s">
        <v>88</v>
      </c>
      <c r="N54" s="207"/>
      <c r="O54" s="207"/>
      <c r="P54" s="208"/>
    </row>
    <row r="55" spans="1:16" ht="19.5" customHeight="1">
      <c r="A55" s="210"/>
      <c r="B55" s="211"/>
      <c r="C55" s="212"/>
      <c r="D55" s="85"/>
      <c r="E55" s="85" t="s">
        <v>150</v>
      </c>
      <c r="F55" s="85" t="s">
        <v>151</v>
      </c>
      <c r="G55" s="227" t="s">
        <v>152</v>
      </c>
      <c r="H55" s="179"/>
      <c r="I55" s="227" t="s">
        <v>153</v>
      </c>
      <c r="J55" s="179"/>
      <c r="K55" s="227" t="s">
        <v>154</v>
      </c>
      <c r="L55" s="179"/>
      <c r="M55" s="210"/>
      <c r="N55" s="211"/>
      <c r="O55" s="211"/>
      <c r="P55" s="212"/>
    </row>
    <row r="56" spans="1:16" ht="19.5" customHeight="1">
      <c r="A56" s="26" t="s">
        <v>155</v>
      </c>
      <c r="B56" s="202"/>
      <c r="C56" s="179"/>
      <c r="D56" s="83" t="str">
        <f t="shared" ref="D56:D85" si="1">A56&amp;" "&amp;B56</f>
        <v xml:space="preserve">1.1.1 </v>
      </c>
      <c r="E56" s="84"/>
      <c r="F56" s="84"/>
      <c r="G56" s="221"/>
      <c r="H56" s="179"/>
      <c r="I56" s="219"/>
      <c r="J56" s="179"/>
      <c r="K56" s="219"/>
      <c r="L56" s="179"/>
      <c r="M56" s="224"/>
      <c r="N56" s="178"/>
      <c r="O56" s="178"/>
      <c r="P56" s="179"/>
    </row>
    <row r="57" spans="1:16" ht="19.5" customHeight="1">
      <c r="A57" s="26" t="s">
        <v>156</v>
      </c>
      <c r="B57" s="202"/>
      <c r="C57" s="179"/>
      <c r="D57" s="83" t="str">
        <f t="shared" si="1"/>
        <v xml:space="preserve">1.1.2 </v>
      </c>
      <c r="E57" s="84"/>
      <c r="F57" s="84"/>
      <c r="G57" s="221"/>
      <c r="H57" s="179"/>
      <c r="I57" s="219"/>
      <c r="J57" s="179"/>
      <c r="K57" s="219"/>
      <c r="L57" s="179"/>
      <c r="M57" s="224"/>
      <c r="N57" s="178"/>
      <c r="O57" s="178"/>
      <c r="P57" s="179"/>
    </row>
    <row r="58" spans="1:16" ht="19.5" customHeight="1">
      <c r="A58" s="26" t="s">
        <v>157</v>
      </c>
      <c r="B58" s="202"/>
      <c r="C58" s="179"/>
      <c r="D58" s="83" t="str">
        <f t="shared" si="1"/>
        <v xml:space="preserve">1.2.1 </v>
      </c>
      <c r="E58" s="84"/>
      <c r="F58" s="84"/>
      <c r="G58" s="221"/>
      <c r="H58" s="179"/>
      <c r="I58" s="219"/>
      <c r="J58" s="179"/>
      <c r="K58" s="219"/>
      <c r="L58" s="179"/>
      <c r="M58" s="224"/>
      <c r="N58" s="178"/>
      <c r="O58" s="178"/>
      <c r="P58" s="179"/>
    </row>
    <row r="59" spans="1:16" ht="19.5" customHeight="1">
      <c r="A59" s="26" t="s">
        <v>158</v>
      </c>
      <c r="B59" s="202"/>
      <c r="C59" s="179"/>
      <c r="D59" s="83" t="str">
        <f t="shared" si="1"/>
        <v xml:space="preserve">1.2.2 </v>
      </c>
      <c r="E59" s="84"/>
      <c r="F59" s="84"/>
      <c r="G59" s="221"/>
      <c r="H59" s="179"/>
      <c r="I59" s="219"/>
      <c r="J59" s="179"/>
      <c r="K59" s="219"/>
      <c r="L59" s="179"/>
      <c r="M59" s="224"/>
      <c r="N59" s="178"/>
      <c r="O59" s="178"/>
      <c r="P59" s="179"/>
    </row>
    <row r="60" spans="1:16" ht="19.5" customHeight="1">
      <c r="A60" s="26" t="s">
        <v>159</v>
      </c>
      <c r="B60" s="202"/>
      <c r="C60" s="179"/>
      <c r="D60" s="83" t="str">
        <f t="shared" si="1"/>
        <v xml:space="preserve">1.3.1 </v>
      </c>
      <c r="E60" s="84"/>
      <c r="F60" s="84"/>
      <c r="G60" s="221"/>
      <c r="H60" s="179"/>
      <c r="I60" s="219"/>
      <c r="J60" s="179"/>
      <c r="K60" s="219"/>
      <c r="L60" s="179"/>
      <c r="M60" s="224"/>
      <c r="N60" s="178"/>
      <c r="O60" s="178"/>
      <c r="P60" s="179"/>
    </row>
    <row r="61" spans="1:16" ht="19.5" customHeight="1">
      <c r="A61" s="26" t="s">
        <v>160</v>
      </c>
      <c r="B61" s="202"/>
      <c r="C61" s="179"/>
      <c r="D61" s="83" t="str">
        <f t="shared" si="1"/>
        <v xml:space="preserve">1.3.2 </v>
      </c>
      <c r="E61" s="84"/>
      <c r="F61" s="84"/>
      <c r="G61" s="221"/>
      <c r="H61" s="179"/>
      <c r="I61" s="219"/>
      <c r="J61" s="179"/>
      <c r="K61" s="219"/>
      <c r="L61" s="179"/>
      <c r="M61" s="224"/>
      <c r="N61" s="178"/>
      <c r="O61" s="178"/>
      <c r="P61" s="179"/>
    </row>
    <row r="62" spans="1:16" ht="19.5" customHeight="1">
      <c r="A62" s="26" t="s">
        <v>161</v>
      </c>
      <c r="B62" s="202"/>
      <c r="C62" s="179"/>
      <c r="D62" s="83" t="str">
        <f t="shared" si="1"/>
        <v xml:space="preserve">2.1.1 </v>
      </c>
      <c r="E62" s="84"/>
      <c r="F62" s="84"/>
      <c r="G62" s="221"/>
      <c r="H62" s="179"/>
      <c r="I62" s="219"/>
      <c r="J62" s="179"/>
      <c r="K62" s="219"/>
      <c r="L62" s="179"/>
      <c r="M62" s="224"/>
      <c r="N62" s="178"/>
      <c r="O62" s="178"/>
      <c r="P62" s="179"/>
    </row>
    <row r="63" spans="1:16" ht="19.5" customHeight="1">
      <c r="A63" s="26" t="s">
        <v>162</v>
      </c>
      <c r="B63" s="202"/>
      <c r="C63" s="179"/>
      <c r="D63" s="83" t="str">
        <f t="shared" si="1"/>
        <v xml:space="preserve">2.1.2 </v>
      </c>
      <c r="E63" s="84"/>
      <c r="F63" s="84"/>
      <c r="G63" s="221"/>
      <c r="H63" s="179"/>
      <c r="I63" s="219"/>
      <c r="J63" s="179"/>
      <c r="K63" s="219"/>
      <c r="L63" s="179"/>
      <c r="M63" s="224"/>
      <c r="N63" s="178"/>
      <c r="O63" s="178"/>
      <c r="P63" s="179"/>
    </row>
    <row r="64" spans="1:16" ht="19.5" customHeight="1">
      <c r="A64" s="26" t="s">
        <v>163</v>
      </c>
      <c r="B64" s="202"/>
      <c r="C64" s="179"/>
      <c r="D64" s="83" t="str">
        <f t="shared" si="1"/>
        <v xml:space="preserve">2.2.1 </v>
      </c>
      <c r="E64" s="84"/>
      <c r="F64" s="84"/>
      <c r="G64" s="221"/>
      <c r="H64" s="179"/>
      <c r="I64" s="219"/>
      <c r="J64" s="179"/>
      <c r="K64" s="219"/>
      <c r="L64" s="179"/>
      <c r="M64" s="224"/>
      <c r="N64" s="178"/>
      <c r="O64" s="178"/>
      <c r="P64" s="179"/>
    </row>
    <row r="65" spans="1:16" ht="19.5" customHeight="1">
      <c r="A65" s="26" t="s">
        <v>164</v>
      </c>
      <c r="B65" s="202"/>
      <c r="C65" s="179"/>
      <c r="D65" s="83" t="str">
        <f t="shared" si="1"/>
        <v xml:space="preserve">2.2.2 </v>
      </c>
      <c r="E65" s="84"/>
      <c r="F65" s="84"/>
      <c r="G65" s="221"/>
      <c r="H65" s="179"/>
      <c r="I65" s="219"/>
      <c r="J65" s="179"/>
      <c r="K65" s="219"/>
      <c r="L65" s="179"/>
      <c r="M65" s="224"/>
      <c r="N65" s="178"/>
      <c r="O65" s="178"/>
      <c r="P65" s="179"/>
    </row>
    <row r="66" spans="1:16" ht="19.5" customHeight="1">
      <c r="A66" s="26" t="s">
        <v>165</v>
      </c>
      <c r="B66" s="202"/>
      <c r="C66" s="179"/>
      <c r="D66" s="83" t="str">
        <f t="shared" si="1"/>
        <v xml:space="preserve">2.3.1 </v>
      </c>
      <c r="E66" s="84"/>
      <c r="F66" s="84"/>
      <c r="G66" s="221"/>
      <c r="H66" s="179"/>
      <c r="I66" s="219"/>
      <c r="J66" s="179"/>
      <c r="K66" s="219"/>
      <c r="L66" s="179"/>
      <c r="M66" s="224"/>
      <c r="N66" s="178"/>
      <c r="O66" s="178"/>
      <c r="P66" s="179"/>
    </row>
    <row r="67" spans="1:16" ht="19.5" customHeight="1">
      <c r="A67" s="26" t="s">
        <v>166</v>
      </c>
      <c r="B67" s="202"/>
      <c r="C67" s="179"/>
      <c r="D67" s="83" t="str">
        <f t="shared" si="1"/>
        <v xml:space="preserve">2.3.2 </v>
      </c>
      <c r="E67" s="84"/>
      <c r="F67" s="84"/>
      <c r="G67" s="221"/>
      <c r="H67" s="179"/>
      <c r="I67" s="219"/>
      <c r="J67" s="179"/>
      <c r="K67" s="219"/>
      <c r="L67" s="179"/>
      <c r="M67" s="224"/>
      <c r="N67" s="178"/>
      <c r="O67" s="178"/>
      <c r="P67" s="179"/>
    </row>
    <row r="68" spans="1:16" ht="24" customHeight="1">
      <c r="A68" s="26" t="s">
        <v>167</v>
      </c>
      <c r="B68" s="202"/>
      <c r="C68" s="179"/>
      <c r="D68" s="83" t="str">
        <f t="shared" si="1"/>
        <v xml:space="preserve">3.1.1 </v>
      </c>
      <c r="E68" s="84"/>
      <c r="F68" s="84"/>
      <c r="G68" s="221"/>
      <c r="H68" s="179"/>
      <c r="I68" s="219"/>
      <c r="J68" s="179"/>
      <c r="K68" s="219"/>
      <c r="L68" s="179"/>
      <c r="M68" s="224"/>
      <c r="N68" s="178"/>
      <c r="O68" s="178"/>
      <c r="P68" s="179"/>
    </row>
    <row r="69" spans="1:16" ht="19.5" customHeight="1">
      <c r="A69" s="26" t="s">
        <v>168</v>
      </c>
      <c r="B69" s="202"/>
      <c r="C69" s="179"/>
      <c r="D69" s="83" t="str">
        <f t="shared" si="1"/>
        <v xml:space="preserve">3.1.2 </v>
      </c>
      <c r="E69" s="84"/>
      <c r="F69" s="84"/>
      <c r="G69" s="221"/>
      <c r="H69" s="179"/>
      <c r="I69" s="219"/>
      <c r="J69" s="179"/>
      <c r="K69" s="219"/>
      <c r="L69" s="179"/>
      <c r="M69" s="224"/>
      <c r="N69" s="178"/>
      <c r="O69" s="178"/>
      <c r="P69" s="179"/>
    </row>
    <row r="70" spans="1:16" ht="24" customHeight="1">
      <c r="A70" s="26" t="s">
        <v>169</v>
      </c>
      <c r="B70" s="202"/>
      <c r="C70" s="179"/>
      <c r="D70" s="83" t="str">
        <f t="shared" si="1"/>
        <v xml:space="preserve">3.2.1 </v>
      </c>
      <c r="E70" s="84"/>
      <c r="F70" s="84"/>
      <c r="G70" s="221"/>
      <c r="H70" s="179"/>
      <c r="I70" s="219"/>
      <c r="J70" s="179"/>
      <c r="K70" s="219"/>
      <c r="L70" s="179"/>
      <c r="M70" s="224"/>
      <c r="N70" s="178"/>
      <c r="O70" s="178"/>
      <c r="P70" s="179"/>
    </row>
    <row r="71" spans="1:16" ht="19.5" customHeight="1">
      <c r="A71" s="26" t="s">
        <v>170</v>
      </c>
      <c r="B71" s="202"/>
      <c r="C71" s="179"/>
      <c r="D71" s="83" t="str">
        <f t="shared" si="1"/>
        <v xml:space="preserve">3.2.2 </v>
      </c>
      <c r="E71" s="84"/>
      <c r="F71" s="84"/>
      <c r="G71" s="221"/>
      <c r="H71" s="179"/>
      <c r="I71" s="219"/>
      <c r="J71" s="179"/>
      <c r="K71" s="219"/>
      <c r="L71" s="179"/>
      <c r="M71" s="224"/>
      <c r="N71" s="178"/>
      <c r="O71" s="178"/>
      <c r="P71" s="179"/>
    </row>
    <row r="72" spans="1:16" ht="24" customHeight="1">
      <c r="A72" s="26" t="s">
        <v>171</v>
      </c>
      <c r="B72" s="202"/>
      <c r="C72" s="179"/>
      <c r="D72" s="83" t="str">
        <f t="shared" si="1"/>
        <v xml:space="preserve">3.3.1 </v>
      </c>
      <c r="E72" s="84"/>
      <c r="F72" s="84"/>
      <c r="G72" s="221"/>
      <c r="H72" s="179"/>
      <c r="I72" s="219"/>
      <c r="J72" s="179"/>
      <c r="K72" s="219"/>
      <c r="L72" s="179"/>
      <c r="M72" s="224"/>
      <c r="N72" s="178"/>
      <c r="O72" s="178"/>
      <c r="P72" s="179"/>
    </row>
    <row r="73" spans="1:16" ht="19.5" customHeight="1">
      <c r="A73" s="26" t="s">
        <v>172</v>
      </c>
      <c r="B73" s="202"/>
      <c r="C73" s="179"/>
      <c r="D73" s="83" t="str">
        <f t="shared" si="1"/>
        <v xml:space="preserve">3.3.2 </v>
      </c>
      <c r="E73" s="84"/>
      <c r="F73" s="84"/>
      <c r="G73" s="221"/>
      <c r="H73" s="179"/>
      <c r="I73" s="219"/>
      <c r="J73" s="179"/>
      <c r="K73" s="219"/>
      <c r="L73" s="179"/>
      <c r="M73" s="224"/>
      <c r="N73" s="178"/>
      <c r="O73" s="178"/>
      <c r="P73" s="179"/>
    </row>
    <row r="74" spans="1:16" ht="19.5" customHeight="1">
      <c r="A74" s="26" t="s">
        <v>173</v>
      </c>
      <c r="B74" s="202"/>
      <c r="C74" s="179"/>
      <c r="D74" s="83" t="str">
        <f t="shared" si="1"/>
        <v xml:space="preserve">4.1.1 </v>
      </c>
      <c r="E74" s="84"/>
      <c r="F74" s="84"/>
      <c r="G74" s="221"/>
      <c r="H74" s="179"/>
      <c r="I74" s="221"/>
      <c r="J74" s="179"/>
      <c r="K74" s="221"/>
      <c r="L74" s="179"/>
      <c r="M74" s="202"/>
      <c r="N74" s="178"/>
      <c r="O74" s="178"/>
      <c r="P74" s="179"/>
    </row>
    <row r="75" spans="1:16" ht="19.5" customHeight="1">
      <c r="A75" s="26" t="s">
        <v>174</v>
      </c>
      <c r="B75" s="202"/>
      <c r="C75" s="179"/>
      <c r="D75" s="83" t="str">
        <f t="shared" si="1"/>
        <v xml:space="preserve">4.1.2 </v>
      </c>
      <c r="E75" s="84"/>
      <c r="F75" s="84"/>
      <c r="G75" s="221"/>
      <c r="H75" s="179"/>
      <c r="I75" s="221"/>
      <c r="J75" s="179"/>
      <c r="K75" s="221"/>
      <c r="L75" s="179"/>
      <c r="M75" s="202"/>
      <c r="N75" s="178"/>
      <c r="O75" s="178"/>
      <c r="P75" s="179"/>
    </row>
    <row r="76" spans="1:16" ht="19.5" customHeight="1">
      <c r="A76" s="26" t="s">
        <v>175</v>
      </c>
      <c r="B76" s="202"/>
      <c r="C76" s="179"/>
      <c r="D76" s="83" t="str">
        <f t="shared" si="1"/>
        <v xml:space="preserve">4.2.1 </v>
      </c>
      <c r="E76" s="84"/>
      <c r="F76" s="84"/>
      <c r="G76" s="221"/>
      <c r="H76" s="179"/>
      <c r="I76" s="221"/>
      <c r="J76" s="179"/>
      <c r="K76" s="221"/>
      <c r="L76" s="179"/>
      <c r="M76" s="202"/>
      <c r="N76" s="178"/>
      <c r="O76" s="178"/>
      <c r="P76" s="179"/>
    </row>
    <row r="77" spans="1:16" ht="19.5" customHeight="1">
      <c r="A77" s="26" t="s">
        <v>176</v>
      </c>
      <c r="B77" s="202"/>
      <c r="C77" s="179"/>
      <c r="D77" s="83" t="str">
        <f t="shared" si="1"/>
        <v xml:space="preserve">4.2.2 </v>
      </c>
      <c r="E77" s="84"/>
      <c r="F77" s="84"/>
      <c r="G77" s="221"/>
      <c r="H77" s="179"/>
      <c r="I77" s="221"/>
      <c r="J77" s="179"/>
      <c r="K77" s="221"/>
      <c r="L77" s="179"/>
      <c r="M77" s="202"/>
      <c r="N77" s="178"/>
      <c r="O77" s="178"/>
      <c r="P77" s="179"/>
    </row>
    <row r="78" spans="1:16" ht="19.5" customHeight="1">
      <c r="A78" s="26" t="s">
        <v>177</v>
      </c>
      <c r="B78" s="202"/>
      <c r="C78" s="179"/>
      <c r="D78" s="83" t="str">
        <f t="shared" si="1"/>
        <v xml:space="preserve">4.3.1 </v>
      </c>
      <c r="E78" s="84"/>
      <c r="F78" s="84"/>
      <c r="G78" s="221"/>
      <c r="H78" s="179"/>
      <c r="I78" s="221"/>
      <c r="J78" s="179"/>
      <c r="K78" s="221"/>
      <c r="L78" s="179"/>
      <c r="M78" s="202"/>
      <c r="N78" s="178"/>
      <c r="O78" s="178"/>
      <c r="P78" s="179"/>
    </row>
    <row r="79" spans="1:16" ht="19.5" customHeight="1">
      <c r="A79" s="26" t="s">
        <v>178</v>
      </c>
      <c r="B79" s="202"/>
      <c r="C79" s="179"/>
      <c r="D79" s="83" t="str">
        <f t="shared" si="1"/>
        <v xml:space="preserve">4.3.2 </v>
      </c>
      <c r="E79" s="84"/>
      <c r="F79" s="84"/>
      <c r="G79" s="221"/>
      <c r="H79" s="179"/>
      <c r="I79" s="221"/>
      <c r="J79" s="179"/>
      <c r="K79" s="221"/>
      <c r="L79" s="179"/>
      <c r="M79" s="202"/>
      <c r="N79" s="178"/>
      <c r="O79" s="178"/>
      <c r="P79" s="179"/>
    </row>
    <row r="80" spans="1:16" ht="19.5" customHeight="1">
      <c r="A80" s="26" t="s">
        <v>179</v>
      </c>
      <c r="B80" s="202"/>
      <c r="C80" s="179"/>
      <c r="D80" s="83" t="str">
        <f t="shared" si="1"/>
        <v xml:space="preserve">5.1.1 </v>
      </c>
      <c r="E80" s="84"/>
      <c r="F80" s="84"/>
      <c r="G80" s="221"/>
      <c r="H80" s="179"/>
      <c r="I80" s="221"/>
      <c r="J80" s="179"/>
      <c r="K80" s="221"/>
      <c r="L80" s="179"/>
      <c r="M80" s="202"/>
      <c r="N80" s="178"/>
      <c r="O80" s="178"/>
      <c r="P80" s="179"/>
    </row>
    <row r="81" spans="1:16" ht="19.5" customHeight="1">
      <c r="A81" s="26" t="s">
        <v>180</v>
      </c>
      <c r="B81" s="202"/>
      <c r="C81" s="179"/>
      <c r="D81" s="83" t="str">
        <f t="shared" si="1"/>
        <v xml:space="preserve">5.1.2 </v>
      </c>
      <c r="E81" s="84"/>
      <c r="F81" s="84"/>
      <c r="G81" s="221"/>
      <c r="H81" s="179"/>
      <c r="I81" s="221"/>
      <c r="J81" s="179"/>
      <c r="K81" s="221"/>
      <c r="L81" s="179"/>
      <c r="M81" s="202"/>
      <c r="N81" s="178"/>
      <c r="O81" s="178"/>
      <c r="P81" s="179"/>
    </row>
    <row r="82" spans="1:16" ht="19.5" customHeight="1">
      <c r="A82" s="26" t="s">
        <v>181</v>
      </c>
      <c r="B82" s="202"/>
      <c r="C82" s="179"/>
      <c r="D82" s="83" t="str">
        <f t="shared" si="1"/>
        <v xml:space="preserve">5.2.1 </v>
      </c>
      <c r="E82" s="84"/>
      <c r="F82" s="84"/>
      <c r="G82" s="221"/>
      <c r="H82" s="179"/>
      <c r="I82" s="221"/>
      <c r="J82" s="179"/>
      <c r="K82" s="221"/>
      <c r="L82" s="179"/>
      <c r="M82" s="202"/>
      <c r="N82" s="178"/>
      <c r="O82" s="178"/>
      <c r="P82" s="179"/>
    </row>
    <row r="83" spans="1:16" ht="19.5" customHeight="1">
      <c r="A83" s="26" t="s">
        <v>182</v>
      </c>
      <c r="B83" s="202"/>
      <c r="C83" s="179"/>
      <c r="D83" s="83" t="str">
        <f t="shared" si="1"/>
        <v xml:space="preserve">5.2.2 </v>
      </c>
      <c r="E83" s="84"/>
      <c r="F83" s="84"/>
      <c r="G83" s="221"/>
      <c r="H83" s="179"/>
      <c r="I83" s="221"/>
      <c r="J83" s="179"/>
      <c r="K83" s="221"/>
      <c r="L83" s="179"/>
      <c r="M83" s="202"/>
      <c r="N83" s="178"/>
      <c r="O83" s="178"/>
      <c r="P83" s="179"/>
    </row>
    <row r="84" spans="1:16" ht="19.5" customHeight="1">
      <c r="A84" s="26" t="s">
        <v>183</v>
      </c>
      <c r="B84" s="202"/>
      <c r="C84" s="179"/>
      <c r="D84" s="83" t="str">
        <f t="shared" si="1"/>
        <v xml:space="preserve">5.3.1 </v>
      </c>
      <c r="E84" s="84"/>
      <c r="F84" s="84"/>
      <c r="G84" s="221"/>
      <c r="H84" s="179"/>
      <c r="I84" s="221"/>
      <c r="J84" s="179"/>
      <c r="K84" s="221"/>
      <c r="L84" s="179"/>
      <c r="M84" s="202"/>
      <c r="N84" s="178"/>
      <c r="O84" s="178"/>
      <c r="P84" s="179"/>
    </row>
    <row r="85" spans="1:16" ht="19.5" customHeight="1">
      <c r="A85" s="26" t="s">
        <v>184</v>
      </c>
      <c r="B85" s="202"/>
      <c r="C85" s="179"/>
      <c r="D85" s="83" t="str">
        <f t="shared" si="1"/>
        <v xml:space="preserve">5.3.2 </v>
      </c>
      <c r="E85" s="84"/>
      <c r="F85" s="84"/>
      <c r="G85" s="221"/>
      <c r="H85" s="179"/>
      <c r="I85" s="221"/>
      <c r="J85" s="179"/>
      <c r="K85" s="221"/>
      <c r="L85" s="179"/>
      <c r="M85" s="202"/>
      <c r="N85" s="178"/>
      <c r="O85" s="178"/>
      <c r="P85" s="179"/>
    </row>
    <row r="86" spans="1:16" ht="19.5" customHeight="1">
      <c r="A86" s="204" t="s">
        <v>185</v>
      </c>
      <c r="B86" s="178"/>
      <c r="C86" s="178"/>
      <c r="D86" s="178"/>
      <c r="E86" s="178"/>
      <c r="F86" s="178"/>
      <c r="G86" s="178"/>
      <c r="H86" s="178"/>
      <c r="I86" s="178"/>
      <c r="J86" s="178"/>
      <c r="K86" s="178"/>
      <c r="L86" s="178"/>
      <c r="M86" s="178"/>
      <c r="N86" s="178"/>
      <c r="O86" s="178"/>
      <c r="P86" s="179"/>
    </row>
    <row r="87" spans="1:16" ht="19.5" customHeight="1">
      <c r="A87" s="215" t="s">
        <v>131</v>
      </c>
      <c r="B87" s="179"/>
      <c r="C87" s="79" t="s">
        <v>214</v>
      </c>
      <c r="D87" s="79"/>
      <c r="E87" s="244" t="s">
        <v>186</v>
      </c>
      <c r="F87" s="178"/>
      <c r="G87" s="79" t="s">
        <v>120</v>
      </c>
      <c r="H87" s="79" t="s">
        <v>187</v>
      </c>
      <c r="I87" s="79" t="s">
        <v>188</v>
      </c>
      <c r="J87" s="79" t="s">
        <v>189</v>
      </c>
      <c r="K87" s="79" t="s">
        <v>190</v>
      </c>
      <c r="L87" s="79" t="s">
        <v>191</v>
      </c>
      <c r="M87" s="79" t="s">
        <v>192</v>
      </c>
      <c r="N87" s="79" t="s">
        <v>193</v>
      </c>
      <c r="O87" s="79" t="s">
        <v>194</v>
      </c>
      <c r="P87" s="79" t="s">
        <v>189</v>
      </c>
    </row>
    <row r="88" spans="1:16" ht="19.5" customHeight="1">
      <c r="A88" s="202"/>
      <c r="B88" s="179"/>
      <c r="C88" s="81"/>
      <c r="D88" s="81"/>
      <c r="E88" s="228"/>
      <c r="F88" s="178"/>
      <c r="G88" s="84"/>
      <c r="H88" s="122"/>
      <c r="I88" s="84"/>
      <c r="J88" s="123">
        <f t="shared" ref="J88:J109" si="2">H88*I88</f>
        <v>0</v>
      </c>
      <c r="K88" s="122"/>
      <c r="L88" s="122"/>
      <c r="M88" s="122"/>
      <c r="N88" s="122"/>
      <c r="O88" s="122"/>
      <c r="P88" s="123">
        <f t="shared" ref="P88:P110" si="3">SUM(K88:O88)</f>
        <v>0</v>
      </c>
    </row>
    <row r="89" spans="1:16" ht="19.5" customHeight="1">
      <c r="A89" s="202"/>
      <c r="B89" s="179"/>
      <c r="C89" s="81"/>
      <c r="D89" s="81"/>
      <c r="E89" s="228"/>
      <c r="F89" s="178"/>
      <c r="G89" s="84"/>
      <c r="H89" s="122"/>
      <c r="I89" s="84"/>
      <c r="J89" s="123">
        <f t="shared" si="2"/>
        <v>0</v>
      </c>
      <c r="K89" s="122"/>
      <c r="L89" s="122"/>
      <c r="M89" s="122"/>
      <c r="N89" s="122"/>
      <c r="O89" s="122"/>
      <c r="P89" s="123">
        <f t="shared" si="3"/>
        <v>0</v>
      </c>
    </row>
    <row r="90" spans="1:16" ht="19.5" customHeight="1">
      <c r="A90" s="202"/>
      <c r="B90" s="179"/>
      <c r="C90" s="81"/>
      <c r="D90" s="81"/>
      <c r="E90" s="228"/>
      <c r="F90" s="178"/>
      <c r="G90" s="84"/>
      <c r="H90" s="122"/>
      <c r="I90" s="84"/>
      <c r="J90" s="123">
        <f t="shared" si="2"/>
        <v>0</v>
      </c>
      <c r="K90" s="122"/>
      <c r="L90" s="122"/>
      <c r="M90" s="122"/>
      <c r="N90" s="122"/>
      <c r="O90" s="122"/>
      <c r="P90" s="123">
        <f t="shared" si="3"/>
        <v>0</v>
      </c>
    </row>
    <row r="91" spans="1:16" ht="19.5" customHeight="1">
      <c r="A91" s="202"/>
      <c r="B91" s="179"/>
      <c r="C91" s="81"/>
      <c r="D91" s="81"/>
      <c r="E91" s="228"/>
      <c r="F91" s="178"/>
      <c r="G91" s="84"/>
      <c r="H91" s="122"/>
      <c r="I91" s="84"/>
      <c r="J91" s="123">
        <f t="shared" si="2"/>
        <v>0</v>
      </c>
      <c r="K91" s="122"/>
      <c r="L91" s="122"/>
      <c r="M91" s="122"/>
      <c r="N91" s="122"/>
      <c r="O91" s="122"/>
      <c r="P91" s="123">
        <f t="shared" si="3"/>
        <v>0</v>
      </c>
    </row>
    <row r="92" spans="1:16" ht="19.5" customHeight="1">
      <c r="A92" s="202"/>
      <c r="B92" s="179"/>
      <c r="C92" s="81"/>
      <c r="D92" s="81"/>
      <c r="E92" s="228"/>
      <c r="F92" s="178"/>
      <c r="G92" s="84"/>
      <c r="H92" s="122"/>
      <c r="I92" s="84"/>
      <c r="J92" s="123">
        <f t="shared" si="2"/>
        <v>0</v>
      </c>
      <c r="K92" s="122"/>
      <c r="L92" s="122"/>
      <c r="M92" s="122"/>
      <c r="N92" s="122"/>
      <c r="O92" s="122"/>
      <c r="P92" s="123">
        <f t="shared" si="3"/>
        <v>0</v>
      </c>
    </row>
    <row r="93" spans="1:16" ht="19.5" customHeight="1">
      <c r="A93" s="202"/>
      <c r="B93" s="179"/>
      <c r="C93" s="81"/>
      <c r="D93" s="81"/>
      <c r="E93" s="228"/>
      <c r="F93" s="178"/>
      <c r="G93" s="84"/>
      <c r="H93" s="122"/>
      <c r="I93" s="84"/>
      <c r="J93" s="123">
        <f t="shared" si="2"/>
        <v>0</v>
      </c>
      <c r="K93" s="122"/>
      <c r="L93" s="122"/>
      <c r="M93" s="122"/>
      <c r="N93" s="122"/>
      <c r="O93" s="122"/>
      <c r="P93" s="123">
        <f t="shared" si="3"/>
        <v>0</v>
      </c>
    </row>
    <row r="94" spans="1:16" ht="19.5" customHeight="1">
      <c r="A94" s="202"/>
      <c r="B94" s="179"/>
      <c r="C94" s="81"/>
      <c r="D94" s="81"/>
      <c r="E94" s="228"/>
      <c r="F94" s="178"/>
      <c r="G94" s="84"/>
      <c r="H94" s="122"/>
      <c r="I94" s="84"/>
      <c r="J94" s="123">
        <f t="shared" si="2"/>
        <v>0</v>
      </c>
      <c r="K94" s="122"/>
      <c r="L94" s="122"/>
      <c r="M94" s="122"/>
      <c r="N94" s="122"/>
      <c r="O94" s="122"/>
      <c r="P94" s="123">
        <f t="shared" si="3"/>
        <v>0</v>
      </c>
    </row>
    <row r="95" spans="1:16" ht="21.75" customHeight="1">
      <c r="A95" s="202"/>
      <c r="B95" s="179"/>
      <c r="C95" s="81"/>
      <c r="D95" s="81"/>
      <c r="E95" s="228"/>
      <c r="F95" s="178"/>
      <c r="G95" s="84"/>
      <c r="H95" s="122"/>
      <c r="I95" s="84"/>
      <c r="J95" s="123">
        <f t="shared" si="2"/>
        <v>0</v>
      </c>
      <c r="K95" s="122"/>
      <c r="L95" s="122"/>
      <c r="M95" s="122"/>
      <c r="N95" s="122"/>
      <c r="O95" s="122"/>
      <c r="P95" s="123">
        <f t="shared" si="3"/>
        <v>0</v>
      </c>
    </row>
    <row r="96" spans="1:16" ht="19.5" customHeight="1">
      <c r="A96" s="202"/>
      <c r="B96" s="179"/>
      <c r="C96" s="81"/>
      <c r="D96" s="81"/>
      <c r="E96" s="228"/>
      <c r="F96" s="178"/>
      <c r="G96" s="84"/>
      <c r="H96" s="122"/>
      <c r="I96" s="84"/>
      <c r="J96" s="123">
        <f t="shared" si="2"/>
        <v>0</v>
      </c>
      <c r="K96" s="122"/>
      <c r="L96" s="122"/>
      <c r="M96" s="122"/>
      <c r="N96" s="122"/>
      <c r="O96" s="122"/>
      <c r="P96" s="123">
        <f t="shared" si="3"/>
        <v>0</v>
      </c>
    </row>
    <row r="97" spans="1:16" ht="19.5" customHeight="1">
      <c r="A97" s="202"/>
      <c r="B97" s="179"/>
      <c r="C97" s="81"/>
      <c r="D97" s="81"/>
      <c r="E97" s="228"/>
      <c r="F97" s="178"/>
      <c r="G97" s="84"/>
      <c r="H97" s="122"/>
      <c r="I97" s="84"/>
      <c r="J97" s="123">
        <f t="shared" si="2"/>
        <v>0</v>
      </c>
      <c r="K97" s="122"/>
      <c r="L97" s="122"/>
      <c r="M97" s="122"/>
      <c r="N97" s="122"/>
      <c r="O97" s="122"/>
      <c r="P97" s="123">
        <f t="shared" si="3"/>
        <v>0</v>
      </c>
    </row>
    <row r="98" spans="1:16" ht="19.5" customHeight="1">
      <c r="A98" s="202"/>
      <c r="B98" s="179"/>
      <c r="C98" s="81"/>
      <c r="D98" s="81"/>
      <c r="E98" s="228"/>
      <c r="F98" s="178"/>
      <c r="G98" s="84"/>
      <c r="H98" s="122"/>
      <c r="I98" s="84"/>
      <c r="J98" s="123">
        <f t="shared" si="2"/>
        <v>0</v>
      </c>
      <c r="K98" s="122"/>
      <c r="L98" s="122"/>
      <c r="M98" s="122"/>
      <c r="N98" s="122"/>
      <c r="O98" s="122"/>
      <c r="P98" s="123">
        <f t="shared" si="3"/>
        <v>0</v>
      </c>
    </row>
    <row r="99" spans="1:16" ht="19.5" customHeight="1">
      <c r="A99" s="202"/>
      <c r="B99" s="179"/>
      <c r="C99" s="81"/>
      <c r="D99" s="81"/>
      <c r="E99" s="228"/>
      <c r="F99" s="178"/>
      <c r="G99" s="84"/>
      <c r="H99" s="122"/>
      <c r="I99" s="84"/>
      <c r="J99" s="123">
        <f t="shared" si="2"/>
        <v>0</v>
      </c>
      <c r="K99" s="122"/>
      <c r="L99" s="122"/>
      <c r="M99" s="122"/>
      <c r="N99" s="122"/>
      <c r="O99" s="122"/>
      <c r="P99" s="123">
        <f t="shared" si="3"/>
        <v>0</v>
      </c>
    </row>
    <row r="100" spans="1:16" ht="19.5" customHeight="1">
      <c r="A100" s="202"/>
      <c r="B100" s="179"/>
      <c r="C100" s="81"/>
      <c r="D100" s="81"/>
      <c r="E100" s="228"/>
      <c r="F100" s="178"/>
      <c r="G100" s="84"/>
      <c r="H100" s="122"/>
      <c r="I100" s="84"/>
      <c r="J100" s="123">
        <f t="shared" si="2"/>
        <v>0</v>
      </c>
      <c r="K100" s="122"/>
      <c r="L100" s="122"/>
      <c r="M100" s="122"/>
      <c r="N100" s="122"/>
      <c r="O100" s="122"/>
      <c r="P100" s="123">
        <f t="shared" si="3"/>
        <v>0</v>
      </c>
    </row>
    <row r="101" spans="1:16" ht="19.5" customHeight="1">
      <c r="A101" s="202"/>
      <c r="B101" s="179"/>
      <c r="C101" s="81"/>
      <c r="D101" s="81"/>
      <c r="E101" s="228"/>
      <c r="F101" s="178"/>
      <c r="G101" s="84"/>
      <c r="H101" s="122"/>
      <c r="I101" s="84"/>
      <c r="J101" s="123">
        <f t="shared" si="2"/>
        <v>0</v>
      </c>
      <c r="K101" s="122"/>
      <c r="L101" s="122"/>
      <c r="M101" s="122"/>
      <c r="N101" s="122"/>
      <c r="O101" s="122"/>
      <c r="P101" s="123">
        <f t="shared" si="3"/>
        <v>0</v>
      </c>
    </row>
    <row r="102" spans="1:16" ht="19.5" customHeight="1">
      <c r="A102" s="202"/>
      <c r="B102" s="179"/>
      <c r="C102" s="81"/>
      <c r="D102" s="81"/>
      <c r="E102" s="228"/>
      <c r="F102" s="178"/>
      <c r="G102" s="84"/>
      <c r="H102" s="122"/>
      <c r="I102" s="84"/>
      <c r="J102" s="123">
        <f t="shared" si="2"/>
        <v>0</v>
      </c>
      <c r="K102" s="122"/>
      <c r="L102" s="122"/>
      <c r="M102" s="122"/>
      <c r="N102" s="122"/>
      <c r="O102" s="122"/>
      <c r="P102" s="123">
        <f t="shared" si="3"/>
        <v>0</v>
      </c>
    </row>
    <row r="103" spans="1:16" ht="19.5" customHeight="1">
      <c r="A103" s="202"/>
      <c r="B103" s="179"/>
      <c r="C103" s="81"/>
      <c r="D103" s="81"/>
      <c r="E103" s="228"/>
      <c r="F103" s="178"/>
      <c r="G103" s="84"/>
      <c r="H103" s="122"/>
      <c r="I103" s="84"/>
      <c r="J103" s="123">
        <f t="shared" si="2"/>
        <v>0</v>
      </c>
      <c r="K103" s="122"/>
      <c r="L103" s="122"/>
      <c r="M103" s="122"/>
      <c r="N103" s="122"/>
      <c r="O103" s="122"/>
      <c r="P103" s="123">
        <f t="shared" si="3"/>
        <v>0</v>
      </c>
    </row>
    <row r="104" spans="1:16" ht="19.5" customHeight="1">
      <c r="A104" s="202"/>
      <c r="B104" s="179"/>
      <c r="C104" s="81"/>
      <c r="D104" s="81"/>
      <c r="E104" s="228"/>
      <c r="F104" s="178"/>
      <c r="G104" s="84"/>
      <c r="H104" s="122"/>
      <c r="I104" s="84"/>
      <c r="J104" s="123">
        <f t="shared" si="2"/>
        <v>0</v>
      </c>
      <c r="K104" s="122"/>
      <c r="L104" s="122"/>
      <c r="M104" s="122"/>
      <c r="N104" s="122"/>
      <c r="O104" s="122"/>
      <c r="P104" s="123">
        <f t="shared" si="3"/>
        <v>0</v>
      </c>
    </row>
    <row r="105" spans="1:16" ht="19.5" customHeight="1">
      <c r="A105" s="202"/>
      <c r="B105" s="179"/>
      <c r="C105" s="81"/>
      <c r="D105" s="81"/>
      <c r="E105" s="228"/>
      <c r="F105" s="178"/>
      <c r="G105" s="84"/>
      <c r="H105" s="122"/>
      <c r="I105" s="84"/>
      <c r="J105" s="123">
        <f t="shared" si="2"/>
        <v>0</v>
      </c>
      <c r="K105" s="122"/>
      <c r="L105" s="122"/>
      <c r="M105" s="122"/>
      <c r="N105" s="122"/>
      <c r="O105" s="122"/>
      <c r="P105" s="123">
        <f t="shared" si="3"/>
        <v>0</v>
      </c>
    </row>
    <row r="106" spans="1:16" ht="19.5" customHeight="1">
      <c r="A106" s="202"/>
      <c r="B106" s="179"/>
      <c r="C106" s="81"/>
      <c r="D106" s="81"/>
      <c r="E106" s="228"/>
      <c r="F106" s="178"/>
      <c r="G106" s="84"/>
      <c r="H106" s="122"/>
      <c r="I106" s="84"/>
      <c r="J106" s="123">
        <f t="shared" si="2"/>
        <v>0</v>
      </c>
      <c r="K106" s="122"/>
      <c r="L106" s="122"/>
      <c r="M106" s="122"/>
      <c r="N106" s="122"/>
      <c r="O106" s="122"/>
      <c r="P106" s="123">
        <f t="shared" si="3"/>
        <v>0</v>
      </c>
    </row>
    <row r="107" spans="1:16" ht="19.5" customHeight="1">
      <c r="A107" s="202"/>
      <c r="B107" s="179"/>
      <c r="C107" s="81"/>
      <c r="D107" s="81"/>
      <c r="E107" s="228"/>
      <c r="F107" s="178"/>
      <c r="G107" s="84"/>
      <c r="H107" s="122"/>
      <c r="I107" s="84"/>
      <c r="J107" s="123">
        <f t="shared" si="2"/>
        <v>0</v>
      </c>
      <c r="K107" s="122"/>
      <c r="L107" s="122"/>
      <c r="M107" s="122"/>
      <c r="N107" s="122"/>
      <c r="O107" s="122"/>
      <c r="P107" s="123">
        <f t="shared" si="3"/>
        <v>0</v>
      </c>
    </row>
    <row r="108" spans="1:16" ht="19.5" customHeight="1">
      <c r="A108" s="202"/>
      <c r="B108" s="179"/>
      <c r="C108" s="81"/>
      <c r="D108" s="81"/>
      <c r="E108" s="228"/>
      <c r="F108" s="178"/>
      <c r="G108" s="84"/>
      <c r="H108" s="122"/>
      <c r="I108" s="84"/>
      <c r="J108" s="123">
        <f t="shared" si="2"/>
        <v>0</v>
      </c>
      <c r="K108" s="122"/>
      <c r="L108" s="122"/>
      <c r="M108" s="122"/>
      <c r="N108" s="122"/>
      <c r="O108" s="122"/>
      <c r="P108" s="123">
        <f t="shared" si="3"/>
        <v>0</v>
      </c>
    </row>
    <row r="109" spans="1:16" ht="19.5" customHeight="1">
      <c r="A109" s="202"/>
      <c r="B109" s="179"/>
      <c r="C109" s="81"/>
      <c r="D109" s="81"/>
      <c r="E109" s="228"/>
      <c r="F109" s="178"/>
      <c r="G109" s="84"/>
      <c r="H109" s="122"/>
      <c r="I109" s="84"/>
      <c r="J109" s="123">
        <f t="shared" si="2"/>
        <v>0</v>
      </c>
      <c r="K109" s="122"/>
      <c r="L109" s="122"/>
      <c r="M109" s="122"/>
      <c r="N109" s="122"/>
      <c r="O109" s="122"/>
      <c r="P109" s="123">
        <f t="shared" si="3"/>
        <v>0</v>
      </c>
    </row>
    <row r="110" spans="1:16" ht="19.5" customHeight="1">
      <c r="A110" s="248" t="s">
        <v>242</v>
      </c>
      <c r="B110" s="178"/>
      <c r="C110" s="178"/>
      <c r="D110" s="178"/>
      <c r="E110" s="178"/>
      <c r="F110" s="178"/>
      <c r="G110" s="178"/>
      <c r="H110" s="178"/>
      <c r="I110" s="179"/>
      <c r="J110" s="126">
        <f t="shared" ref="J110:O110" si="4">SUM(J88:J109)</f>
        <v>0</v>
      </c>
      <c r="K110" s="123">
        <f t="shared" si="4"/>
        <v>0</v>
      </c>
      <c r="L110" s="123">
        <f t="shared" si="4"/>
        <v>0</v>
      </c>
      <c r="M110" s="123">
        <f t="shared" si="4"/>
        <v>0</v>
      </c>
      <c r="N110" s="123">
        <f t="shared" si="4"/>
        <v>0</v>
      </c>
      <c r="O110" s="123">
        <f t="shared" si="4"/>
        <v>0</v>
      </c>
      <c r="P110" s="123">
        <f t="shared" si="3"/>
        <v>0</v>
      </c>
    </row>
  </sheetData>
  <mergeCells count="373">
    <mergeCell ref="A106:B106"/>
    <mergeCell ref="E32:F32"/>
    <mergeCell ref="G32:H32"/>
    <mergeCell ref="K65:L65"/>
    <mergeCell ref="G63:H63"/>
    <mergeCell ref="I63:J63"/>
    <mergeCell ref="A110:I110"/>
    <mergeCell ref="G50:H50"/>
    <mergeCell ref="M81:P81"/>
    <mergeCell ref="E96:F96"/>
    <mergeCell ref="B75:C75"/>
    <mergeCell ref="B62:C62"/>
    <mergeCell ref="G52:H52"/>
    <mergeCell ref="E98:F98"/>
    <mergeCell ref="M76:P76"/>
    <mergeCell ref="B39:C39"/>
    <mergeCell ref="B70:C70"/>
    <mergeCell ref="I85:J85"/>
    <mergeCell ref="O49:P49"/>
    <mergeCell ref="K85:L85"/>
    <mergeCell ref="L44:N44"/>
    <mergeCell ref="K84:L84"/>
    <mergeCell ref="O50:P50"/>
    <mergeCell ref="E45:F45"/>
    <mergeCell ref="A104:B104"/>
    <mergeCell ref="M69:P69"/>
    <mergeCell ref="A14:B14"/>
    <mergeCell ref="L30:N30"/>
    <mergeCell ref="A20:P20"/>
    <mergeCell ref="O42:P42"/>
    <mergeCell ref="G45:H45"/>
    <mergeCell ref="B65:C65"/>
    <mergeCell ref="O52:P52"/>
    <mergeCell ref="G55:H55"/>
    <mergeCell ref="G47:H47"/>
    <mergeCell ref="G46:H46"/>
    <mergeCell ref="B50:C50"/>
    <mergeCell ref="M77:P77"/>
    <mergeCell ref="G40:H40"/>
    <mergeCell ref="G79:H79"/>
    <mergeCell ref="B83:C83"/>
    <mergeCell ref="G73:H73"/>
    <mergeCell ref="I79:J79"/>
    <mergeCell ref="I73:J73"/>
    <mergeCell ref="K73:L73"/>
    <mergeCell ref="O5:P5"/>
    <mergeCell ref="E103:F103"/>
    <mergeCell ref="M68:P68"/>
    <mergeCell ref="B57:C57"/>
    <mergeCell ref="M67:P67"/>
    <mergeCell ref="A12:B12"/>
    <mergeCell ref="C9:P9"/>
    <mergeCell ref="A13:B13"/>
    <mergeCell ref="K6:L6"/>
    <mergeCell ref="C11:P13"/>
    <mergeCell ref="G36:H36"/>
    <mergeCell ref="L45:N45"/>
    <mergeCell ref="M54:P55"/>
    <mergeCell ref="L38:N38"/>
    <mergeCell ref="B48:C48"/>
    <mergeCell ref="M58:P58"/>
    <mergeCell ref="C25:H25"/>
    <mergeCell ref="A15:B15"/>
    <mergeCell ref="L42:N42"/>
    <mergeCell ref="E50:F50"/>
    <mergeCell ref="O34:P34"/>
    <mergeCell ref="G42:H42"/>
    <mergeCell ref="E52:F52"/>
    <mergeCell ref="B56:C56"/>
    <mergeCell ref="E39:F39"/>
    <mergeCell ref="O39:P39"/>
    <mergeCell ref="E44:F44"/>
    <mergeCell ref="O36:P36"/>
    <mergeCell ref="E102:F102"/>
    <mergeCell ref="K69:L69"/>
    <mergeCell ref="E2:H2"/>
    <mergeCell ref="B35:C35"/>
    <mergeCell ref="G77:H77"/>
    <mergeCell ref="I6:J6"/>
    <mergeCell ref="I77:J77"/>
    <mergeCell ref="A11:B11"/>
    <mergeCell ref="B66:C66"/>
    <mergeCell ref="K64:L64"/>
    <mergeCell ref="I72:J72"/>
    <mergeCell ref="I25:P25"/>
    <mergeCell ref="K72:L72"/>
    <mergeCell ref="G49:H49"/>
    <mergeCell ref="M79:P79"/>
    <mergeCell ref="M73:P73"/>
    <mergeCell ref="M60:P60"/>
    <mergeCell ref="A91:B91"/>
    <mergeCell ref="I82:J82"/>
    <mergeCell ref="I2:J2"/>
    <mergeCell ref="G78:H78"/>
    <mergeCell ref="B82:C82"/>
    <mergeCell ref="A28:C28"/>
    <mergeCell ref="B44:C44"/>
    <mergeCell ref="A5:B5"/>
    <mergeCell ref="K3:P3"/>
    <mergeCell ref="A16:P16"/>
    <mergeCell ref="C15:P15"/>
    <mergeCell ref="O33:P33"/>
    <mergeCell ref="E105:F105"/>
    <mergeCell ref="G34:H34"/>
    <mergeCell ref="B38:C38"/>
    <mergeCell ref="K67:L67"/>
    <mergeCell ref="E99:F99"/>
    <mergeCell ref="E49:F49"/>
    <mergeCell ref="E36:F36"/>
    <mergeCell ref="B40:C40"/>
    <mergeCell ref="E101:F101"/>
    <mergeCell ref="E100:F100"/>
    <mergeCell ref="K82:L82"/>
    <mergeCell ref="A37:P37"/>
    <mergeCell ref="A93:B93"/>
    <mergeCell ref="I81:J81"/>
    <mergeCell ref="M57:P57"/>
    <mergeCell ref="A88:B88"/>
    <mergeCell ref="E87:F87"/>
    <mergeCell ref="M71:P71"/>
    <mergeCell ref="I76:J76"/>
    <mergeCell ref="L34:N34"/>
    <mergeCell ref="L49:N49"/>
    <mergeCell ref="K77:L77"/>
    <mergeCell ref="M6:N6"/>
    <mergeCell ref="B74:C74"/>
    <mergeCell ref="B68:C68"/>
    <mergeCell ref="M84:P84"/>
    <mergeCell ref="M80:P80"/>
    <mergeCell ref="L33:N33"/>
    <mergeCell ref="C21:P21"/>
    <mergeCell ref="K76:L76"/>
    <mergeCell ref="E34:F34"/>
    <mergeCell ref="B42:C42"/>
    <mergeCell ref="O30:P30"/>
    <mergeCell ref="M63:P63"/>
    <mergeCell ref="G39:H39"/>
    <mergeCell ref="B43:C43"/>
    <mergeCell ref="B33:C33"/>
    <mergeCell ref="G44:H44"/>
    <mergeCell ref="I69:J69"/>
    <mergeCell ref="A9:B9"/>
    <mergeCell ref="B41:C41"/>
    <mergeCell ref="A30:C30"/>
    <mergeCell ref="C17:P19"/>
    <mergeCell ref="I3:J3"/>
    <mergeCell ref="K59:L59"/>
    <mergeCell ref="I68:J68"/>
    <mergeCell ref="E30:F30"/>
    <mergeCell ref="G30:H30"/>
    <mergeCell ref="I55:J55"/>
    <mergeCell ref="G5:H5"/>
    <mergeCell ref="I67:J67"/>
    <mergeCell ref="I5:J5"/>
    <mergeCell ref="I24:P24"/>
    <mergeCell ref="K61:L61"/>
    <mergeCell ref="A27:P27"/>
    <mergeCell ref="K62:L62"/>
    <mergeCell ref="G58:H58"/>
    <mergeCell ref="A17:B17"/>
    <mergeCell ref="L48:N48"/>
    <mergeCell ref="A18:B18"/>
    <mergeCell ref="E33:F33"/>
    <mergeCell ref="L39:N39"/>
    <mergeCell ref="A6:B6"/>
    <mergeCell ref="E35:F35"/>
    <mergeCell ref="E28:F28"/>
    <mergeCell ref="E3:H3"/>
    <mergeCell ref="K63:L63"/>
    <mergeCell ref="A109:B109"/>
    <mergeCell ref="C24:H24"/>
    <mergeCell ref="B64:C64"/>
    <mergeCell ref="M74:P74"/>
    <mergeCell ref="A19:B19"/>
    <mergeCell ref="B51:C51"/>
    <mergeCell ref="G75:H75"/>
    <mergeCell ref="C26:H26"/>
    <mergeCell ref="G70:H70"/>
    <mergeCell ref="I70:J70"/>
    <mergeCell ref="I57:J57"/>
    <mergeCell ref="L41:N41"/>
    <mergeCell ref="A92:B92"/>
    <mergeCell ref="B72:C72"/>
    <mergeCell ref="E106:F106"/>
    <mergeCell ref="A95:B95"/>
    <mergeCell ref="A97:B97"/>
    <mergeCell ref="M28:P28"/>
    <mergeCell ref="E29:P29"/>
    <mergeCell ref="G81:H81"/>
    <mergeCell ref="A108:B108"/>
    <mergeCell ref="A31:P31"/>
    <mergeCell ref="C23:H23"/>
    <mergeCell ref="B73:C73"/>
    <mergeCell ref="A96:B96"/>
    <mergeCell ref="E41:F41"/>
    <mergeCell ref="O38:P38"/>
    <mergeCell ref="G41:H41"/>
    <mergeCell ref="B45:C45"/>
    <mergeCell ref="G56:H56"/>
    <mergeCell ref="E43:F43"/>
    <mergeCell ref="G43:H43"/>
    <mergeCell ref="B47:C47"/>
    <mergeCell ref="B59:C59"/>
    <mergeCell ref="B46:C46"/>
    <mergeCell ref="E90:F90"/>
    <mergeCell ref="G65:H65"/>
    <mergeCell ref="G60:H60"/>
    <mergeCell ref="I60:J60"/>
    <mergeCell ref="G74:H74"/>
    <mergeCell ref="M70:P70"/>
    <mergeCell ref="B85:C85"/>
    <mergeCell ref="O44:P44"/>
    <mergeCell ref="A90:B90"/>
    <mergeCell ref="A94:B94"/>
    <mergeCell ref="K83:L83"/>
    <mergeCell ref="K60:L60"/>
    <mergeCell ref="G80:H80"/>
    <mergeCell ref="E51:F51"/>
    <mergeCell ref="B67:C67"/>
    <mergeCell ref="G57:H57"/>
    <mergeCell ref="B61:C61"/>
    <mergeCell ref="O41:P41"/>
    <mergeCell ref="O35:P35"/>
    <mergeCell ref="B69:C69"/>
    <mergeCell ref="L46:N46"/>
    <mergeCell ref="M78:P78"/>
    <mergeCell ref="O47:P47"/>
    <mergeCell ref="L36:N36"/>
    <mergeCell ref="K71:L71"/>
    <mergeCell ref="K2:P2"/>
    <mergeCell ref="A10:P10"/>
    <mergeCell ref="E38:F38"/>
    <mergeCell ref="G38:H38"/>
    <mergeCell ref="A89:B89"/>
    <mergeCell ref="E40:F40"/>
    <mergeCell ref="A105:B105"/>
    <mergeCell ref="E104:F104"/>
    <mergeCell ref="G33:H33"/>
    <mergeCell ref="M64:P64"/>
    <mergeCell ref="G35:H35"/>
    <mergeCell ref="A100:B100"/>
    <mergeCell ref="M65:P65"/>
    <mergeCell ref="C7:P7"/>
    <mergeCell ref="K66:L66"/>
    <mergeCell ref="A102:B102"/>
    <mergeCell ref="I74:J74"/>
    <mergeCell ref="K74:L74"/>
    <mergeCell ref="K68:L68"/>
    <mergeCell ref="A2:B3"/>
    <mergeCell ref="K5:L5"/>
    <mergeCell ref="M5:N5"/>
    <mergeCell ref="B71:C71"/>
    <mergeCell ref="B58:C58"/>
    <mergeCell ref="E109:F109"/>
    <mergeCell ref="E47:F47"/>
    <mergeCell ref="G72:H72"/>
    <mergeCell ref="M61:P61"/>
    <mergeCell ref="O6:P6"/>
    <mergeCell ref="B77:C77"/>
    <mergeCell ref="A21:B26"/>
    <mergeCell ref="A7:B7"/>
    <mergeCell ref="M56:P56"/>
    <mergeCell ref="A99:B99"/>
    <mergeCell ref="I71:J71"/>
    <mergeCell ref="I58:J58"/>
    <mergeCell ref="K58:L58"/>
    <mergeCell ref="A101:B101"/>
    <mergeCell ref="I83:J83"/>
    <mergeCell ref="B49:C49"/>
    <mergeCell ref="I23:P23"/>
    <mergeCell ref="E91:F91"/>
    <mergeCell ref="G85:H85"/>
    <mergeCell ref="E54:L54"/>
    <mergeCell ref="B32:C32"/>
    <mergeCell ref="G84:H84"/>
    <mergeCell ref="B63:C63"/>
    <mergeCell ref="E93:F93"/>
    <mergeCell ref="E108:F108"/>
    <mergeCell ref="I62:J62"/>
    <mergeCell ref="B34:C34"/>
    <mergeCell ref="O46:P46"/>
    <mergeCell ref="E95:F95"/>
    <mergeCell ref="E89:F89"/>
    <mergeCell ref="G64:H64"/>
    <mergeCell ref="I64:J64"/>
    <mergeCell ref="O48:P48"/>
    <mergeCell ref="G51:H51"/>
    <mergeCell ref="M75:P75"/>
    <mergeCell ref="B76:C76"/>
    <mergeCell ref="K57:L57"/>
    <mergeCell ref="A86:P86"/>
    <mergeCell ref="I65:J65"/>
    <mergeCell ref="E42:F42"/>
    <mergeCell ref="E88:F88"/>
    <mergeCell ref="G82:H82"/>
    <mergeCell ref="M66:P66"/>
    <mergeCell ref="I75:J75"/>
    <mergeCell ref="K75:L75"/>
    <mergeCell ref="G83:H83"/>
    <mergeCell ref="K70:L70"/>
    <mergeCell ref="I78:J78"/>
    <mergeCell ref="A1:P1"/>
    <mergeCell ref="O51:P51"/>
    <mergeCell ref="B84:C84"/>
    <mergeCell ref="G76:H76"/>
    <mergeCell ref="B80:C80"/>
    <mergeCell ref="I59:J59"/>
    <mergeCell ref="B79:C79"/>
    <mergeCell ref="B81:C81"/>
    <mergeCell ref="A4:P4"/>
    <mergeCell ref="L40:N40"/>
    <mergeCell ref="G69:H69"/>
    <mergeCell ref="G6:H6"/>
    <mergeCell ref="G28:J28"/>
    <mergeCell ref="B36:C36"/>
    <mergeCell ref="L43:N43"/>
    <mergeCell ref="I84:J84"/>
    <mergeCell ref="K78:L78"/>
    <mergeCell ref="A8:P8"/>
    <mergeCell ref="I80:J80"/>
    <mergeCell ref="K80:L80"/>
    <mergeCell ref="M62:P62"/>
    <mergeCell ref="L51:N51"/>
    <mergeCell ref="K55:L55"/>
    <mergeCell ref="K79:L79"/>
    <mergeCell ref="C5:D5"/>
    <mergeCell ref="A103:B103"/>
    <mergeCell ref="G67:H67"/>
    <mergeCell ref="G61:H61"/>
    <mergeCell ref="E48:F48"/>
    <mergeCell ref="I61:J61"/>
    <mergeCell ref="O45:P45"/>
    <mergeCell ref="G48:H48"/>
    <mergeCell ref="L50:N50"/>
    <mergeCell ref="G62:H62"/>
    <mergeCell ref="A29:C29"/>
    <mergeCell ref="I56:J56"/>
    <mergeCell ref="C22:P22"/>
    <mergeCell ref="L52:N52"/>
    <mergeCell ref="A54:C55"/>
    <mergeCell ref="K56:L56"/>
    <mergeCell ref="E92:F92"/>
    <mergeCell ref="E94:F94"/>
    <mergeCell ref="E97:F97"/>
    <mergeCell ref="A87:B87"/>
    <mergeCell ref="B52:C52"/>
    <mergeCell ref="I26:P26"/>
    <mergeCell ref="M83:P83"/>
    <mergeCell ref="B60:C60"/>
    <mergeCell ref="A107:B107"/>
    <mergeCell ref="G71:H71"/>
    <mergeCell ref="M72:P72"/>
    <mergeCell ref="C14:P14"/>
    <mergeCell ref="K81:L81"/>
    <mergeCell ref="O32:P32"/>
    <mergeCell ref="M59:P59"/>
    <mergeCell ref="G66:H66"/>
    <mergeCell ref="I66:J66"/>
    <mergeCell ref="B78:C78"/>
    <mergeCell ref="G68:H68"/>
    <mergeCell ref="M82:P82"/>
    <mergeCell ref="O40:P40"/>
    <mergeCell ref="L32:N32"/>
    <mergeCell ref="K28:L28"/>
    <mergeCell ref="L47:N47"/>
    <mergeCell ref="G59:H59"/>
    <mergeCell ref="M85:P85"/>
    <mergeCell ref="E107:F107"/>
    <mergeCell ref="E46:F46"/>
    <mergeCell ref="O43:P43"/>
    <mergeCell ref="A98:B98"/>
    <mergeCell ref="A53:P53"/>
    <mergeCell ref="L35:N35"/>
  </mergeCells>
  <phoneticPr fontId="39" type="noConversion"/>
  <conditionalFormatting sqref="P96:P102">
    <cfRule type="cellIs" dxfId="3" priority="2" operator="notEqual">
      <formula>$J$88</formula>
    </cfRule>
  </conditionalFormatting>
  <conditionalFormatting sqref="P88:P95 P103:P110">
    <cfRule type="cellIs" dxfId="2" priority="3" operator="notEqual">
      <formula>$J88</formula>
    </cfRule>
  </conditionalFormatting>
  <dataValidations count="6">
    <dataValidation type="list" allowBlank="1" showInputMessage="1" showErrorMessage="1" sqref="C88:C109" xr:uid="{00000000-0002-0000-0700-000000000000}">
      <formula1>Others_Activity</formula1>
      <formula2>0</formula2>
    </dataValidation>
    <dataValidation type="list" allowBlank="1" showInputMessage="1" showErrorMessage="1" sqref="E21:O22" xr:uid="{00000000-0002-0000-0700-000001000000}">
      <formula1>"O,X"</formula1>
      <formula2>0</formula2>
    </dataValidation>
    <dataValidation type="list" allowBlank="1" showInputMessage="1" showErrorMessage="1" sqref="E28:G28" xr:uid="{00000000-0002-0000-0700-000002000000}">
      <formula1>"Gender,Disaster risk management ,Others"</formula1>
      <formula2>0</formula2>
    </dataValidation>
    <dataValidation type="list" allowBlank="1" showInputMessage="1" showErrorMessage="1" sqref="A88:B109" xr:uid="{00000000-0002-0000-0700-000003000000}">
      <formula1>Others_Output</formula1>
      <formula2>0</formula2>
    </dataValidation>
    <dataValidation type="list" allowBlank="1" showInputMessage="1" showErrorMessage="1" sqref="E32:E36 F33:F34" xr:uid="{00000000-0002-0000-0700-000004000000}">
      <formula1>all_outcome_indicator</formula1>
      <formula2>0</formula2>
    </dataValidation>
    <dataValidation type="list" allowBlank="1" showInputMessage="1" showErrorMessage="1" sqref="E38:F46 E47:E52" xr:uid="{00000000-0002-0000-0700-000005000000}">
      <formula1>all_output_indicator</formula1>
      <formula2>0</formula2>
    </dataValidation>
  </dataValidations>
  <pageMargins left="0.7" right="0.7" top="0.75" bottom="0.75" header="0.511811023622047" footer="0.511811023622047"/>
  <pageSetup paperSize="9" scale="31" orientation="portrait" horizontalDpi="300" verticalDpi="300" r:id="rId1"/>
  <rowBreaks count="1" manualBreakCount="1">
    <brk id="19"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R49"/>
  <sheetViews>
    <sheetView showGridLines="0" zoomScale="85" zoomScaleNormal="85" workbookViewId="0">
      <pane ySplit="1" topLeftCell="A17" activePane="bottomLeft" state="frozen"/>
      <selection pane="bottomLeft" activeCell="C6" sqref="C6:R6"/>
    </sheetView>
  </sheetViews>
  <sheetFormatPr defaultRowHeight="17.399999999999999"/>
  <cols>
    <col min="1" max="1" width="13.69921875" style="109" customWidth="1"/>
    <col min="2" max="2" width="24.09765625" style="109" customWidth="1"/>
    <col min="3" max="8" width="10.5" style="109" customWidth="1"/>
    <col min="9" max="9" width="12.19921875" style="109" customWidth="1"/>
    <col min="10" max="11" width="10.5" style="109" customWidth="1"/>
    <col min="12" max="18" width="11.296875" style="109" customWidth="1"/>
  </cols>
  <sheetData>
    <row r="1" spans="1:18" ht="19.05" customHeight="1">
      <c r="A1" s="314" t="s">
        <v>19</v>
      </c>
      <c r="B1" s="211"/>
      <c r="C1" s="211"/>
      <c r="D1" s="211"/>
      <c r="E1" s="211"/>
      <c r="F1" s="211"/>
      <c r="G1" s="211"/>
      <c r="H1" s="211"/>
      <c r="I1" s="211"/>
      <c r="J1" s="211"/>
      <c r="K1" s="211"/>
      <c r="L1" s="211"/>
      <c r="M1" s="211"/>
      <c r="N1" s="211"/>
      <c r="O1" s="211"/>
      <c r="P1" s="211"/>
      <c r="Q1" s="211"/>
      <c r="R1" s="211"/>
    </row>
    <row r="2" spans="1:18" ht="17.25" customHeight="1">
      <c r="A2" s="305" t="s">
        <v>243</v>
      </c>
      <c r="B2" s="306"/>
      <c r="C2" s="306"/>
      <c r="D2" s="306"/>
      <c r="E2" s="306"/>
      <c r="F2" s="306"/>
      <c r="G2" s="306"/>
      <c r="H2" s="306"/>
      <c r="I2" s="306"/>
      <c r="J2" s="306"/>
      <c r="K2" s="306"/>
      <c r="L2" s="306"/>
      <c r="M2" s="306"/>
      <c r="N2" s="306"/>
      <c r="O2" s="306"/>
      <c r="P2" s="306"/>
      <c r="Q2" s="306"/>
      <c r="R2" s="306"/>
    </row>
    <row r="3" spans="1:18">
      <c r="A3" s="307" t="s">
        <v>22</v>
      </c>
      <c r="B3" s="309"/>
      <c r="C3" s="307" t="s">
        <v>23</v>
      </c>
      <c r="D3" s="308"/>
      <c r="E3" s="308"/>
      <c r="F3" s="308"/>
      <c r="G3" s="308"/>
      <c r="H3" s="308"/>
      <c r="I3" s="308"/>
      <c r="J3" s="308"/>
      <c r="K3" s="308"/>
      <c r="L3" s="308"/>
      <c r="M3" s="308"/>
      <c r="N3" s="308"/>
      <c r="O3" s="308"/>
      <c r="P3" s="308"/>
      <c r="Q3" s="308"/>
      <c r="R3" s="309"/>
    </row>
    <row r="4" spans="1:18" ht="111" customHeight="1">
      <c r="A4" s="302" t="s">
        <v>244</v>
      </c>
      <c r="B4" s="299"/>
      <c r="C4" s="311" t="s">
        <v>245</v>
      </c>
      <c r="D4" s="298"/>
      <c r="E4" s="298"/>
      <c r="F4" s="298"/>
      <c r="G4" s="298"/>
      <c r="H4" s="298"/>
      <c r="I4" s="298"/>
      <c r="J4" s="298"/>
      <c r="K4" s="298"/>
      <c r="L4" s="298"/>
      <c r="M4" s="298"/>
      <c r="N4" s="298"/>
      <c r="O4" s="298"/>
      <c r="P4" s="298"/>
      <c r="Q4" s="298"/>
      <c r="R4" s="299"/>
    </row>
    <row r="5" spans="1:18" ht="111" customHeight="1">
      <c r="A5" s="302" t="s">
        <v>246</v>
      </c>
      <c r="B5" s="299"/>
      <c r="C5" s="311" t="s">
        <v>247</v>
      </c>
      <c r="D5" s="298"/>
      <c r="E5" s="298"/>
      <c r="F5" s="298"/>
      <c r="G5" s="298"/>
      <c r="H5" s="298"/>
      <c r="I5" s="298"/>
      <c r="J5" s="298"/>
      <c r="K5" s="298"/>
      <c r="L5" s="298"/>
      <c r="M5" s="298"/>
      <c r="N5" s="298"/>
      <c r="O5" s="298"/>
      <c r="P5" s="298"/>
      <c r="Q5" s="298"/>
      <c r="R5" s="299"/>
    </row>
    <row r="6" spans="1:18" ht="111" customHeight="1">
      <c r="A6" s="302" t="s">
        <v>248</v>
      </c>
      <c r="B6" s="299"/>
      <c r="C6" s="311" t="s">
        <v>613</v>
      </c>
      <c r="D6" s="298"/>
      <c r="E6" s="298"/>
      <c r="F6" s="298"/>
      <c r="G6" s="298"/>
      <c r="H6" s="298"/>
      <c r="I6" s="298"/>
      <c r="J6" s="298"/>
      <c r="K6" s="298"/>
      <c r="L6" s="298"/>
      <c r="M6" s="298"/>
      <c r="N6" s="298"/>
      <c r="O6" s="298"/>
      <c r="P6" s="298"/>
      <c r="Q6" s="298"/>
      <c r="R6" s="299"/>
    </row>
    <row r="7" spans="1:18" ht="111" customHeight="1">
      <c r="A7" s="302" t="s">
        <v>596</v>
      </c>
      <c r="B7" s="299"/>
      <c r="C7" s="311" t="s">
        <v>249</v>
      </c>
      <c r="D7" s="298"/>
      <c r="E7" s="298"/>
      <c r="F7" s="298"/>
      <c r="G7" s="298"/>
      <c r="H7" s="298"/>
      <c r="I7" s="298"/>
      <c r="J7" s="298"/>
      <c r="K7" s="298"/>
      <c r="L7" s="298"/>
      <c r="M7" s="298"/>
      <c r="N7" s="298"/>
      <c r="O7" s="298"/>
      <c r="P7" s="298"/>
      <c r="Q7" s="298"/>
      <c r="R7" s="299"/>
    </row>
    <row r="8" spans="1:18" ht="17.25" customHeight="1">
      <c r="A8" s="305" t="s">
        <v>250</v>
      </c>
      <c r="B8" s="306"/>
      <c r="C8" s="306"/>
      <c r="D8" s="306"/>
      <c r="E8" s="306"/>
      <c r="F8" s="306"/>
      <c r="G8" s="306"/>
      <c r="H8" s="306"/>
      <c r="I8" s="306"/>
      <c r="J8" s="306"/>
      <c r="K8" s="306"/>
      <c r="L8" s="306"/>
      <c r="M8" s="306"/>
      <c r="N8" s="306"/>
      <c r="O8" s="306"/>
      <c r="P8" s="306"/>
      <c r="Q8" s="306"/>
      <c r="R8" s="306"/>
    </row>
    <row r="9" spans="1:18" ht="19.05" customHeight="1">
      <c r="A9" s="300" t="s">
        <v>22</v>
      </c>
      <c r="B9" s="303" t="s">
        <v>251</v>
      </c>
      <c r="C9" s="303" t="s">
        <v>252</v>
      </c>
      <c r="D9" s="303" t="s">
        <v>150</v>
      </c>
      <c r="E9" s="298"/>
      <c r="F9" s="299"/>
      <c r="G9" s="303" t="s">
        <v>151</v>
      </c>
      <c r="H9" s="298"/>
      <c r="I9" s="299"/>
      <c r="J9" s="303" t="s">
        <v>152</v>
      </c>
      <c r="K9" s="298"/>
      <c r="L9" s="299"/>
      <c r="M9" s="303" t="s">
        <v>153</v>
      </c>
      <c r="N9" s="298"/>
      <c r="O9" s="299"/>
      <c r="P9" s="303" t="s">
        <v>154</v>
      </c>
      <c r="Q9" s="298"/>
      <c r="R9" s="299"/>
    </row>
    <row r="10" spans="1:18" ht="19.05" customHeight="1">
      <c r="A10" s="304"/>
      <c r="B10" s="304"/>
      <c r="C10" s="304"/>
      <c r="D10" s="103" t="s">
        <v>253</v>
      </c>
      <c r="E10" s="103" t="s">
        <v>254</v>
      </c>
      <c r="F10" s="103" t="s">
        <v>189</v>
      </c>
      <c r="G10" s="103" t="s">
        <v>253</v>
      </c>
      <c r="H10" s="103" t="s">
        <v>254</v>
      </c>
      <c r="I10" s="103" t="s">
        <v>189</v>
      </c>
      <c r="J10" s="103" t="s">
        <v>253</v>
      </c>
      <c r="K10" s="103" t="s">
        <v>254</v>
      </c>
      <c r="L10" s="103" t="s">
        <v>189</v>
      </c>
      <c r="M10" s="103" t="s">
        <v>253</v>
      </c>
      <c r="N10" s="103" t="s">
        <v>254</v>
      </c>
      <c r="O10" s="103" t="s">
        <v>189</v>
      </c>
      <c r="P10" s="103" t="s">
        <v>253</v>
      </c>
      <c r="Q10" s="103" t="s">
        <v>254</v>
      </c>
      <c r="R10" s="103" t="s">
        <v>189</v>
      </c>
    </row>
    <row r="11" spans="1:18" ht="19.05" customHeight="1">
      <c r="A11" s="300" t="s">
        <v>255</v>
      </c>
      <c r="B11" s="113" t="s">
        <v>256</v>
      </c>
      <c r="C11" s="133"/>
      <c r="D11" s="133"/>
      <c r="E11" s="133"/>
      <c r="F11" s="133">
        <f t="shared" ref="F11:F17" si="0">C11+D11-E11</f>
        <v>0</v>
      </c>
      <c r="G11" s="133"/>
      <c r="H11" s="133"/>
      <c r="I11" s="133">
        <f t="shared" ref="I11:I17" si="1">F11+G11-H11</f>
        <v>0</v>
      </c>
      <c r="J11" s="133"/>
      <c r="K11" s="133"/>
      <c r="L11" s="133">
        <f t="shared" ref="L11:L17" si="2">I11+J11-K11</f>
        <v>0</v>
      </c>
      <c r="M11" s="133"/>
      <c r="N11" s="133"/>
      <c r="O11" s="133">
        <f t="shared" ref="O11:O17" si="3">L11+M11-N11</f>
        <v>0</v>
      </c>
      <c r="P11" s="133"/>
      <c r="Q11" s="133"/>
      <c r="R11" s="133">
        <f t="shared" ref="R11:R17" si="4">O11+P11-Q11</f>
        <v>0</v>
      </c>
    </row>
    <row r="12" spans="1:18" ht="19.05" customHeight="1">
      <c r="A12" s="312"/>
      <c r="B12" s="113" t="s">
        <v>257</v>
      </c>
      <c r="C12" s="133"/>
      <c r="D12" s="133"/>
      <c r="E12" s="133"/>
      <c r="F12" s="133">
        <f t="shared" si="0"/>
        <v>0</v>
      </c>
      <c r="G12" s="133"/>
      <c r="H12" s="133"/>
      <c r="I12" s="133">
        <f t="shared" si="1"/>
        <v>0</v>
      </c>
      <c r="J12" s="133"/>
      <c r="K12" s="133"/>
      <c r="L12" s="133">
        <f t="shared" si="2"/>
        <v>0</v>
      </c>
      <c r="M12" s="133"/>
      <c r="N12" s="133"/>
      <c r="O12" s="133">
        <f t="shared" si="3"/>
        <v>0</v>
      </c>
      <c r="P12" s="133"/>
      <c r="Q12" s="133"/>
      <c r="R12" s="133">
        <f t="shared" si="4"/>
        <v>0</v>
      </c>
    </row>
    <row r="13" spans="1:18" ht="19.05" customHeight="1">
      <c r="A13" s="312"/>
      <c r="B13" s="113" t="s">
        <v>258</v>
      </c>
      <c r="C13" s="133"/>
      <c r="D13" s="133"/>
      <c r="E13" s="133"/>
      <c r="F13" s="133">
        <f t="shared" si="0"/>
        <v>0</v>
      </c>
      <c r="G13" s="133"/>
      <c r="H13" s="133"/>
      <c r="I13" s="133">
        <f t="shared" si="1"/>
        <v>0</v>
      </c>
      <c r="J13" s="133"/>
      <c r="K13" s="133"/>
      <c r="L13" s="133">
        <f t="shared" si="2"/>
        <v>0</v>
      </c>
      <c r="M13" s="133"/>
      <c r="N13" s="133"/>
      <c r="O13" s="133">
        <f t="shared" si="3"/>
        <v>0</v>
      </c>
      <c r="P13" s="133"/>
      <c r="Q13" s="133"/>
      <c r="R13" s="133">
        <f t="shared" si="4"/>
        <v>0</v>
      </c>
    </row>
    <row r="14" spans="1:18" ht="19.05" customHeight="1">
      <c r="A14" s="312"/>
      <c r="B14" s="113" t="s">
        <v>259</v>
      </c>
      <c r="C14" s="133"/>
      <c r="D14" s="133"/>
      <c r="E14" s="133"/>
      <c r="F14" s="133">
        <f t="shared" si="0"/>
        <v>0</v>
      </c>
      <c r="G14" s="133"/>
      <c r="H14" s="133"/>
      <c r="I14" s="133">
        <f t="shared" si="1"/>
        <v>0</v>
      </c>
      <c r="J14" s="133"/>
      <c r="K14" s="133"/>
      <c r="L14" s="133">
        <f t="shared" si="2"/>
        <v>0</v>
      </c>
      <c r="M14" s="133"/>
      <c r="N14" s="133"/>
      <c r="O14" s="133">
        <f t="shared" si="3"/>
        <v>0</v>
      </c>
      <c r="P14" s="133"/>
      <c r="Q14" s="133"/>
      <c r="R14" s="133">
        <f t="shared" si="4"/>
        <v>0</v>
      </c>
    </row>
    <row r="15" spans="1:18" ht="19.05" customHeight="1">
      <c r="A15" s="312"/>
      <c r="B15" s="113" t="s">
        <v>260</v>
      </c>
      <c r="C15" s="133"/>
      <c r="D15" s="133"/>
      <c r="E15" s="133"/>
      <c r="F15" s="133">
        <f t="shared" si="0"/>
        <v>0</v>
      </c>
      <c r="G15" s="133"/>
      <c r="H15" s="133"/>
      <c r="I15" s="133">
        <f t="shared" si="1"/>
        <v>0</v>
      </c>
      <c r="J15" s="133"/>
      <c r="K15" s="133"/>
      <c r="L15" s="133">
        <f t="shared" si="2"/>
        <v>0</v>
      </c>
      <c r="M15" s="133"/>
      <c r="N15" s="133"/>
      <c r="O15" s="133">
        <f t="shared" si="3"/>
        <v>0</v>
      </c>
      <c r="P15" s="133"/>
      <c r="Q15" s="133"/>
      <c r="R15" s="133">
        <f t="shared" si="4"/>
        <v>0</v>
      </c>
    </row>
    <row r="16" spans="1:18" ht="19.05" customHeight="1">
      <c r="A16" s="312"/>
      <c r="B16" s="113" t="s">
        <v>261</v>
      </c>
      <c r="C16" s="133"/>
      <c r="D16" s="133"/>
      <c r="E16" s="133"/>
      <c r="F16" s="133">
        <f t="shared" si="0"/>
        <v>0</v>
      </c>
      <c r="G16" s="133"/>
      <c r="H16" s="133"/>
      <c r="I16" s="133">
        <f t="shared" si="1"/>
        <v>0</v>
      </c>
      <c r="J16" s="133"/>
      <c r="K16" s="133"/>
      <c r="L16" s="133">
        <f t="shared" si="2"/>
        <v>0</v>
      </c>
      <c r="M16" s="133"/>
      <c r="N16" s="133"/>
      <c r="O16" s="133">
        <f t="shared" si="3"/>
        <v>0</v>
      </c>
      <c r="P16" s="133"/>
      <c r="Q16" s="133"/>
      <c r="R16" s="133">
        <f t="shared" si="4"/>
        <v>0</v>
      </c>
    </row>
    <row r="17" spans="1:18" ht="19.05" customHeight="1">
      <c r="A17" s="304"/>
      <c r="B17" s="113" t="s">
        <v>262</v>
      </c>
      <c r="C17" s="133"/>
      <c r="D17" s="133"/>
      <c r="E17" s="133"/>
      <c r="F17" s="134">
        <f t="shared" si="0"/>
        <v>0</v>
      </c>
      <c r="G17" s="133"/>
      <c r="H17" s="133"/>
      <c r="I17" s="133">
        <f t="shared" si="1"/>
        <v>0</v>
      </c>
      <c r="J17" s="133"/>
      <c r="K17" s="133"/>
      <c r="L17" s="133">
        <f t="shared" si="2"/>
        <v>0</v>
      </c>
      <c r="M17" s="133"/>
      <c r="N17" s="133"/>
      <c r="O17" s="133">
        <f t="shared" si="3"/>
        <v>0</v>
      </c>
      <c r="P17" s="133"/>
      <c r="Q17" s="133"/>
      <c r="R17" s="133">
        <f t="shared" si="4"/>
        <v>0</v>
      </c>
    </row>
    <row r="18" spans="1:18" ht="19.05" customHeight="1">
      <c r="A18" s="321" t="s">
        <v>263</v>
      </c>
      <c r="B18" s="299"/>
      <c r="C18" s="135">
        <f t="shared" ref="C18:R18" si="5">SUM(C11:C17)</f>
        <v>0</v>
      </c>
      <c r="D18" s="135">
        <f t="shared" si="5"/>
        <v>0</v>
      </c>
      <c r="E18" s="135">
        <f t="shared" si="5"/>
        <v>0</v>
      </c>
      <c r="F18" s="135">
        <f t="shared" si="5"/>
        <v>0</v>
      </c>
      <c r="G18" s="135">
        <f t="shared" si="5"/>
        <v>0</v>
      </c>
      <c r="H18" s="135">
        <f t="shared" si="5"/>
        <v>0</v>
      </c>
      <c r="I18" s="135">
        <f t="shared" si="5"/>
        <v>0</v>
      </c>
      <c r="J18" s="135">
        <f t="shared" si="5"/>
        <v>0</v>
      </c>
      <c r="K18" s="135">
        <f t="shared" si="5"/>
        <v>0</v>
      </c>
      <c r="L18" s="135">
        <f t="shared" si="5"/>
        <v>0</v>
      </c>
      <c r="M18" s="135">
        <f t="shared" si="5"/>
        <v>0</v>
      </c>
      <c r="N18" s="135">
        <f t="shared" si="5"/>
        <v>0</v>
      </c>
      <c r="O18" s="135">
        <f t="shared" si="5"/>
        <v>0</v>
      </c>
      <c r="P18" s="135">
        <f t="shared" si="5"/>
        <v>0</v>
      </c>
      <c r="Q18" s="135">
        <f t="shared" si="5"/>
        <v>0</v>
      </c>
      <c r="R18" s="135">
        <f t="shared" si="5"/>
        <v>0</v>
      </c>
    </row>
    <row r="19" spans="1:18" ht="19.05" customHeight="1">
      <c r="A19" s="320" t="s">
        <v>264</v>
      </c>
      <c r="B19" s="299"/>
      <c r="C19" s="133"/>
      <c r="D19" s="133"/>
      <c r="E19" s="133"/>
      <c r="F19" s="133">
        <f>C19+D19-E19</f>
        <v>0</v>
      </c>
      <c r="G19" s="133"/>
      <c r="H19" s="133"/>
      <c r="I19" s="133">
        <f>F19+G19-H19</f>
        <v>0</v>
      </c>
      <c r="J19" s="133"/>
      <c r="K19" s="133"/>
      <c r="L19" s="133">
        <f>I19+J19-K19</f>
        <v>0</v>
      </c>
      <c r="M19" s="133"/>
      <c r="N19" s="133"/>
      <c r="O19" s="133">
        <f>L19+M19-N19</f>
        <v>0</v>
      </c>
      <c r="P19" s="133"/>
      <c r="Q19" s="133"/>
      <c r="R19" s="133">
        <f>O19+P19-Q19</f>
        <v>0</v>
      </c>
    </row>
    <row r="20" spans="1:18" ht="19.05" customHeight="1">
      <c r="A20" s="321" t="s">
        <v>189</v>
      </c>
      <c r="B20" s="299"/>
      <c r="C20" s="135">
        <f t="shared" ref="C20:R20" si="6">C18+C19</f>
        <v>0</v>
      </c>
      <c r="D20" s="135">
        <f t="shared" si="6"/>
        <v>0</v>
      </c>
      <c r="E20" s="135">
        <f t="shared" si="6"/>
        <v>0</v>
      </c>
      <c r="F20" s="135">
        <f t="shared" si="6"/>
        <v>0</v>
      </c>
      <c r="G20" s="135">
        <f t="shared" si="6"/>
        <v>0</v>
      </c>
      <c r="H20" s="135">
        <f t="shared" si="6"/>
        <v>0</v>
      </c>
      <c r="I20" s="135">
        <f t="shared" si="6"/>
        <v>0</v>
      </c>
      <c r="J20" s="135">
        <f t="shared" si="6"/>
        <v>0</v>
      </c>
      <c r="K20" s="135">
        <f t="shared" si="6"/>
        <v>0</v>
      </c>
      <c r="L20" s="135">
        <f t="shared" si="6"/>
        <v>0</v>
      </c>
      <c r="M20" s="135">
        <f t="shared" si="6"/>
        <v>0</v>
      </c>
      <c r="N20" s="135">
        <f t="shared" si="6"/>
        <v>0</v>
      </c>
      <c r="O20" s="135">
        <f t="shared" si="6"/>
        <v>0</v>
      </c>
      <c r="P20" s="135">
        <f t="shared" si="6"/>
        <v>0</v>
      </c>
      <c r="Q20" s="135">
        <f t="shared" si="6"/>
        <v>0</v>
      </c>
      <c r="R20" s="135">
        <f t="shared" si="6"/>
        <v>0</v>
      </c>
    </row>
    <row r="21" spans="1:18" ht="17.25" customHeight="1">
      <c r="A21" s="305" t="s">
        <v>265</v>
      </c>
      <c r="B21" s="306"/>
      <c r="C21" s="306"/>
      <c r="D21" s="306"/>
      <c r="E21" s="306"/>
      <c r="F21" s="306"/>
      <c r="G21" s="306"/>
      <c r="H21" s="306"/>
      <c r="I21" s="306"/>
      <c r="J21" s="306"/>
      <c r="K21" s="306"/>
      <c r="L21" s="306"/>
      <c r="M21" s="306"/>
      <c r="N21" s="306"/>
      <c r="O21" s="306"/>
      <c r="P21" s="306"/>
      <c r="Q21" s="306"/>
      <c r="R21" s="306"/>
    </row>
    <row r="22" spans="1:18" ht="17.25" customHeight="1">
      <c r="A22" s="310" t="s">
        <v>266</v>
      </c>
      <c r="B22" s="306"/>
      <c r="C22" s="306"/>
      <c r="D22" s="306"/>
      <c r="E22" s="306"/>
      <c r="F22" s="306"/>
      <c r="G22" s="306"/>
      <c r="H22" s="306"/>
      <c r="I22" s="306"/>
      <c r="J22" s="306"/>
      <c r="K22" s="306"/>
      <c r="L22" s="306"/>
      <c r="M22" s="306"/>
      <c r="N22" s="306"/>
      <c r="O22" s="306"/>
      <c r="P22" s="306"/>
      <c r="Q22" s="306"/>
      <c r="R22" s="306"/>
    </row>
    <row r="23" spans="1:18" s="69" customFormat="1" ht="28.2" customHeight="1">
      <c r="A23" s="101" t="s">
        <v>267</v>
      </c>
      <c r="B23" s="101" t="s">
        <v>268</v>
      </c>
      <c r="C23" s="300" t="s">
        <v>122</v>
      </c>
      <c r="D23" s="299"/>
      <c r="E23" s="300" t="s">
        <v>269</v>
      </c>
      <c r="F23" s="299"/>
      <c r="G23" s="300" t="s">
        <v>186</v>
      </c>
      <c r="H23" s="298"/>
      <c r="I23" s="299"/>
      <c r="J23" s="101" t="s">
        <v>120</v>
      </c>
      <c r="K23" s="101" t="s">
        <v>270</v>
      </c>
      <c r="L23" s="101" t="s">
        <v>189</v>
      </c>
      <c r="M23" s="101" t="s">
        <v>271</v>
      </c>
      <c r="N23" s="101" t="s">
        <v>272</v>
      </c>
      <c r="O23" s="101" t="s">
        <v>273</v>
      </c>
      <c r="P23" s="101" t="s">
        <v>274</v>
      </c>
      <c r="Q23" s="101" t="s">
        <v>275</v>
      </c>
      <c r="R23" s="101" t="s">
        <v>189</v>
      </c>
    </row>
    <row r="24" spans="1:18" s="69" customFormat="1" ht="34.200000000000003" customHeight="1">
      <c r="A24" s="100" t="s">
        <v>276</v>
      </c>
      <c r="B24" s="70" t="s">
        <v>277</v>
      </c>
      <c r="C24" s="301" t="s">
        <v>278</v>
      </c>
      <c r="D24" s="309"/>
      <c r="E24" s="301" t="s">
        <v>279</v>
      </c>
      <c r="F24" s="299"/>
      <c r="G24" s="301"/>
      <c r="H24" s="298"/>
      <c r="I24" s="299"/>
      <c r="J24" s="136"/>
      <c r="K24" s="137"/>
      <c r="L24" s="138">
        <f t="shared" ref="L24:L33" si="7">J24*K24</f>
        <v>0</v>
      </c>
      <c r="M24" s="139"/>
      <c r="N24" s="139"/>
      <c r="O24" s="139"/>
      <c r="P24" s="139"/>
      <c r="Q24" s="139"/>
      <c r="R24" s="138">
        <f t="shared" ref="R24:R33" si="8">SUM(M24:Q24)</f>
        <v>0</v>
      </c>
    </row>
    <row r="25" spans="1:18" s="69" customFormat="1" ht="34.200000000000003" customHeight="1">
      <c r="A25" s="100" t="s">
        <v>280</v>
      </c>
      <c r="B25" s="70" t="s">
        <v>281</v>
      </c>
      <c r="C25" s="315"/>
      <c r="D25" s="316"/>
      <c r="E25" s="301" t="s">
        <v>282</v>
      </c>
      <c r="F25" s="299"/>
      <c r="G25" s="301"/>
      <c r="H25" s="298"/>
      <c r="I25" s="299"/>
      <c r="J25" s="136"/>
      <c r="K25" s="137"/>
      <c r="L25" s="138">
        <f t="shared" si="7"/>
        <v>0</v>
      </c>
      <c r="M25" s="139"/>
      <c r="N25" s="139"/>
      <c r="O25" s="139"/>
      <c r="P25" s="139"/>
      <c r="Q25" s="139"/>
      <c r="R25" s="138">
        <f t="shared" si="8"/>
        <v>0</v>
      </c>
    </row>
    <row r="26" spans="1:18" s="69" customFormat="1" ht="34.200000000000003" customHeight="1">
      <c r="A26" s="302" t="s">
        <v>283</v>
      </c>
      <c r="B26" s="70" t="s">
        <v>284</v>
      </c>
      <c r="C26" s="317"/>
      <c r="D26" s="318"/>
      <c r="E26" s="301" t="s">
        <v>282</v>
      </c>
      <c r="F26" s="299"/>
      <c r="G26" s="301"/>
      <c r="H26" s="298"/>
      <c r="I26" s="299"/>
      <c r="J26" s="136"/>
      <c r="K26" s="137"/>
      <c r="L26" s="138">
        <f t="shared" si="7"/>
        <v>0</v>
      </c>
      <c r="M26" s="139"/>
      <c r="N26" s="139"/>
      <c r="O26" s="139"/>
      <c r="P26" s="139"/>
      <c r="Q26" s="139"/>
      <c r="R26" s="138">
        <f t="shared" si="8"/>
        <v>0</v>
      </c>
    </row>
    <row r="27" spans="1:18" s="69" customFormat="1" ht="34.200000000000003" customHeight="1">
      <c r="A27" s="304"/>
      <c r="B27" s="70" t="s">
        <v>285</v>
      </c>
      <c r="C27" s="301" t="s">
        <v>286</v>
      </c>
      <c r="D27" s="299"/>
      <c r="E27" s="301" t="s">
        <v>287</v>
      </c>
      <c r="F27" s="299"/>
      <c r="G27" s="301"/>
      <c r="H27" s="298"/>
      <c r="I27" s="299"/>
      <c r="J27" s="136"/>
      <c r="K27" s="137"/>
      <c r="L27" s="138">
        <f t="shared" si="7"/>
        <v>0</v>
      </c>
      <c r="M27" s="139"/>
      <c r="N27" s="139"/>
      <c r="O27" s="139"/>
      <c r="P27" s="139"/>
      <c r="Q27" s="139"/>
      <c r="R27" s="138">
        <f t="shared" si="8"/>
        <v>0</v>
      </c>
    </row>
    <row r="28" spans="1:18" s="69" customFormat="1" ht="34.200000000000003" customHeight="1">
      <c r="A28" s="302" t="s">
        <v>288</v>
      </c>
      <c r="B28" s="70" t="s">
        <v>289</v>
      </c>
      <c r="C28" s="301" t="s">
        <v>278</v>
      </c>
      <c r="D28" s="299"/>
      <c r="E28" s="301" t="s">
        <v>282</v>
      </c>
      <c r="F28" s="299"/>
      <c r="G28" s="301"/>
      <c r="H28" s="298"/>
      <c r="I28" s="299"/>
      <c r="J28" s="136"/>
      <c r="K28" s="137"/>
      <c r="L28" s="138">
        <f t="shared" si="7"/>
        <v>0</v>
      </c>
      <c r="M28" s="139"/>
      <c r="N28" s="139"/>
      <c r="O28" s="139"/>
      <c r="P28" s="139"/>
      <c r="Q28" s="139"/>
      <c r="R28" s="138">
        <f t="shared" si="8"/>
        <v>0</v>
      </c>
    </row>
    <row r="29" spans="1:18" s="69" customFormat="1" ht="34.200000000000003" customHeight="1">
      <c r="A29" s="312"/>
      <c r="B29" s="70" t="s">
        <v>290</v>
      </c>
      <c r="C29" s="301" t="s">
        <v>291</v>
      </c>
      <c r="D29" s="299"/>
      <c r="E29" s="301" t="s">
        <v>292</v>
      </c>
      <c r="F29" s="299"/>
      <c r="G29" s="301"/>
      <c r="H29" s="298"/>
      <c r="I29" s="299"/>
      <c r="J29" s="136"/>
      <c r="K29" s="137"/>
      <c r="L29" s="138">
        <f t="shared" si="7"/>
        <v>0</v>
      </c>
      <c r="M29" s="139"/>
      <c r="N29" s="139"/>
      <c r="O29" s="139"/>
      <c r="P29" s="139"/>
      <c r="Q29" s="139"/>
      <c r="R29" s="138">
        <f t="shared" si="8"/>
        <v>0</v>
      </c>
    </row>
    <row r="30" spans="1:18" s="69" customFormat="1" ht="34.200000000000003" customHeight="1">
      <c r="A30" s="304"/>
      <c r="B30" s="70" t="s">
        <v>293</v>
      </c>
      <c r="C30" s="301" t="s">
        <v>278</v>
      </c>
      <c r="D30" s="299"/>
      <c r="E30" s="301" t="s">
        <v>282</v>
      </c>
      <c r="F30" s="299"/>
      <c r="G30" s="301"/>
      <c r="H30" s="298"/>
      <c r="I30" s="299"/>
      <c r="J30" s="136"/>
      <c r="K30" s="137"/>
      <c r="L30" s="138">
        <f t="shared" si="7"/>
        <v>0</v>
      </c>
      <c r="M30" s="139"/>
      <c r="N30" s="139"/>
      <c r="O30" s="139"/>
      <c r="P30" s="139"/>
      <c r="Q30" s="139"/>
      <c r="R30" s="138">
        <f t="shared" si="8"/>
        <v>0</v>
      </c>
    </row>
    <row r="31" spans="1:18" s="69" customFormat="1" ht="17.25" customHeight="1">
      <c r="A31" s="302" t="s">
        <v>294</v>
      </c>
      <c r="B31" s="70"/>
      <c r="C31" s="301"/>
      <c r="D31" s="299"/>
      <c r="E31" s="301"/>
      <c r="F31" s="299"/>
      <c r="G31" s="301"/>
      <c r="H31" s="298"/>
      <c r="I31" s="299"/>
      <c r="J31" s="136"/>
      <c r="K31" s="137"/>
      <c r="L31" s="138">
        <f t="shared" si="7"/>
        <v>0</v>
      </c>
      <c r="M31" s="139"/>
      <c r="N31" s="139"/>
      <c r="O31" s="139"/>
      <c r="P31" s="139"/>
      <c r="Q31" s="139"/>
      <c r="R31" s="138">
        <f t="shared" si="8"/>
        <v>0</v>
      </c>
    </row>
    <row r="32" spans="1:18" s="69" customFormat="1" ht="17.25" customHeight="1">
      <c r="A32" s="312"/>
      <c r="B32" s="70"/>
      <c r="C32" s="301"/>
      <c r="D32" s="299"/>
      <c r="E32" s="301"/>
      <c r="F32" s="299"/>
      <c r="G32" s="301"/>
      <c r="H32" s="298"/>
      <c r="I32" s="299"/>
      <c r="J32" s="136"/>
      <c r="K32" s="137"/>
      <c r="L32" s="138">
        <f t="shared" si="7"/>
        <v>0</v>
      </c>
      <c r="M32" s="139"/>
      <c r="N32" s="139"/>
      <c r="O32" s="139"/>
      <c r="P32" s="139"/>
      <c r="Q32" s="139"/>
      <c r="R32" s="138">
        <f t="shared" si="8"/>
        <v>0</v>
      </c>
    </row>
    <row r="33" spans="1:18" s="69" customFormat="1" ht="17.25" customHeight="1">
      <c r="A33" s="304"/>
      <c r="B33" s="70"/>
      <c r="C33" s="301"/>
      <c r="D33" s="299"/>
      <c r="E33" s="301"/>
      <c r="F33" s="299"/>
      <c r="G33" s="301"/>
      <c r="H33" s="298"/>
      <c r="I33" s="299"/>
      <c r="J33" s="136"/>
      <c r="K33" s="137"/>
      <c r="L33" s="138">
        <f t="shared" si="7"/>
        <v>0</v>
      </c>
      <c r="M33" s="139"/>
      <c r="N33" s="139"/>
      <c r="O33" s="139"/>
      <c r="P33" s="139"/>
      <c r="Q33" s="139"/>
      <c r="R33" s="138">
        <f t="shared" si="8"/>
        <v>0</v>
      </c>
    </row>
    <row r="34" spans="1:18" s="69" customFormat="1" ht="17.25" customHeight="1">
      <c r="A34" s="319" t="s">
        <v>189</v>
      </c>
      <c r="B34" s="298"/>
      <c r="C34" s="298"/>
      <c r="D34" s="298"/>
      <c r="E34" s="298"/>
      <c r="F34" s="298"/>
      <c r="G34" s="298"/>
      <c r="H34" s="298"/>
      <c r="I34" s="298"/>
      <c r="J34" s="298"/>
      <c r="K34" s="299"/>
      <c r="L34" s="140">
        <f t="shared" ref="L34:R34" si="9">SUM(L24:L33)</f>
        <v>0</v>
      </c>
      <c r="M34" s="140">
        <f t="shared" si="9"/>
        <v>0</v>
      </c>
      <c r="N34" s="140">
        <f t="shared" si="9"/>
        <v>0</v>
      </c>
      <c r="O34" s="140">
        <f t="shared" si="9"/>
        <v>0</v>
      </c>
      <c r="P34" s="140">
        <f t="shared" si="9"/>
        <v>0</v>
      </c>
      <c r="Q34" s="140">
        <f t="shared" si="9"/>
        <v>0</v>
      </c>
      <c r="R34" s="140">
        <f t="shared" si="9"/>
        <v>0</v>
      </c>
    </row>
    <row r="35" spans="1:18" ht="17.25" customHeight="1">
      <c r="A35" s="313" t="s">
        <v>295</v>
      </c>
      <c r="B35" s="306"/>
      <c r="C35" s="306"/>
      <c r="D35" s="306"/>
      <c r="E35" s="306"/>
      <c r="F35" s="306"/>
      <c r="G35" s="306"/>
      <c r="H35" s="306"/>
      <c r="I35" s="306"/>
      <c r="J35" s="306"/>
      <c r="K35" s="306"/>
      <c r="L35" s="306"/>
      <c r="M35" s="306"/>
      <c r="N35" s="306"/>
      <c r="O35" s="306"/>
      <c r="P35" s="306"/>
      <c r="Q35" s="306"/>
      <c r="R35" s="306"/>
    </row>
    <row r="36" spans="1:18">
      <c r="A36" s="101" t="s">
        <v>268</v>
      </c>
      <c r="B36" s="101" t="s">
        <v>296</v>
      </c>
      <c r="C36" s="300" t="s">
        <v>297</v>
      </c>
      <c r="D36" s="298"/>
      <c r="E36" s="299"/>
      <c r="F36" s="300" t="s">
        <v>186</v>
      </c>
      <c r="G36" s="298"/>
      <c r="H36" s="298"/>
      <c r="I36" s="299"/>
      <c r="J36" s="101" t="s">
        <v>120</v>
      </c>
      <c r="K36" s="101" t="s">
        <v>270</v>
      </c>
      <c r="L36" s="101" t="s">
        <v>189</v>
      </c>
      <c r="M36" s="101" t="s">
        <v>271</v>
      </c>
      <c r="N36" s="101" t="s">
        <v>272</v>
      </c>
      <c r="O36" s="101" t="s">
        <v>273</v>
      </c>
      <c r="P36" s="101" t="s">
        <v>274</v>
      </c>
      <c r="Q36" s="101" t="s">
        <v>275</v>
      </c>
      <c r="R36" s="101" t="s">
        <v>189</v>
      </c>
    </row>
    <row r="37" spans="1:18">
      <c r="A37" s="100" t="s">
        <v>298</v>
      </c>
      <c r="B37" s="102"/>
      <c r="C37" s="297"/>
      <c r="D37" s="298"/>
      <c r="E37" s="299"/>
      <c r="F37" s="297"/>
      <c r="G37" s="298"/>
      <c r="H37" s="298"/>
      <c r="I37" s="299"/>
      <c r="J37" s="141"/>
      <c r="K37" s="142"/>
      <c r="L37" s="142">
        <f>J37*K37</f>
        <v>0</v>
      </c>
      <c r="M37" s="142"/>
      <c r="N37" s="142"/>
      <c r="O37" s="143"/>
      <c r="P37" s="143"/>
      <c r="Q37" s="143"/>
      <c r="R37" s="143">
        <f>SUM(M37:Q37)</f>
        <v>0</v>
      </c>
    </row>
    <row r="38" spans="1:18">
      <c r="A38" s="100" t="s">
        <v>299</v>
      </c>
      <c r="B38" s="102"/>
      <c r="C38" s="297"/>
      <c r="D38" s="298"/>
      <c r="E38" s="299"/>
      <c r="F38" s="297"/>
      <c r="G38" s="298"/>
      <c r="H38" s="298"/>
      <c r="I38" s="299"/>
      <c r="J38" s="141"/>
      <c r="K38" s="142"/>
      <c r="L38" s="142">
        <f>J38*K38</f>
        <v>0</v>
      </c>
      <c r="M38" s="142"/>
      <c r="N38" s="142"/>
      <c r="O38" s="143"/>
      <c r="P38" s="143"/>
      <c r="Q38" s="143"/>
      <c r="R38" s="143">
        <f>SUM(M38:Q38)</f>
        <v>0</v>
      </c>
    </row>
    <row r="39" spans="1:18">
      <c r="A39" s="100" t="s">
        <v>300</v>
      </c>
      <c r="B39" s="102"/>
      <c r="C39" s="297"/>
      <c r="D39" s="298"/>
      <c r="E39" s="299"/>
      <c r="F39" s="297"/>
      <c r="G39" s="298"/>
      <c r="H39" s="298"/>
      <c r="I39" s="299"/>
      <c r="J39" s="141"/>
      <c r="K39" s="142"/>
      <c r="L39" s="142">
        <f>J39*K39</f>
        <v>0</v>
      </c>
      <c r="M39" s="142"/>
      <c r="N39" s="142"/>
      <c r="O39" s="143"/>
      <c r="P39" s="143"/>
      <c r="Q39" s="143"/>
      <c r="R39" s="143">
        <f>SUM(M39:Q39)</f>
        <v>0</v>
      </c>
    </row>
    <row r="40" spans="1:18">
      <c r="A40" s="302" t="s">
        <v>294</v>
      </c>
      <c r="B40" s="102"/>
      <c r="C40" s="297"/>
      <c r="D40" s="298"/>
      <c r="E40" s="299"/>
      <c r="F40" s="297"/>
      <c r="G40" s="298"/>
      <c r="H40" s="298"/>
      <c r="I40" s="299"/>
      <c r="J40" s="141"/>
      <c r="K40" s="142"/>
      <c r="L40" s="142">
        <f>J40*K40</f>
        <v>0</v>
      </c>
      <c r="M40" s="142"/>
      <c r="N40" s="142"/>
      <c r="O40" s="143"/>
      <c r="P40" s="143"/>
      <c r="Q40" s="143"/>
      <c r="R40" s="143">
        <f>SUM(M40:Q40)</f>
        <v>0</v>
      </c>
    </row>
    <row r="41" spans="1:18">
      <c r="A41" s="304"/>
      <c r="B41" s="102"/>
      <c r="C41" s="297"/>
      <c r="D41" s="298"/>
      <c r="E41" s="299"/>
      <c r="F41" s="297"/>
      <c r="G41" s="298"/>
      <c r="H41" s="298"/>
      <c r="I41" s="299"/>
      <c r="J41" s="141"/>
      <c r="K41" s="142"/>
      <c r="L41" s="142">
        <f>J41*K41</f>
        <v>0</v>
      </c>
      <c r="M41" s="142"/>
      <c r="N41" s="142"/>
      <c r="O41" s="143"/>
      <c r="P41" s="143"/>
      <c r="Q41" s="143"/>
      <c r="R41" s="143">
        <f>SUM(M41:Q41)</f>
        <v>0</v>
      </c>
    </row>
    <row r="42" spans="1:18">
      <c r="A42" s="319" t="s">
        <v>189</v>
      </c>
      <c r="B42" s="298"/>
      <c r="C42" s="298"/>
      <c r="D42" s="298"/>
      <c r="E42" s="298"/>
      <c r="F42" s="298"/>
      <c r="G42" s="298"/>
      <c r="H42" s="298"/>
      <c r="I42" s="298"/>
      <c r="J42" s="298"/>
      <c r="K42" s="299"/>
      <c r="L42" s="140">
        <f t="shared" ref="L42:R42" si="10">SUM(L37:L41)</f>
        <v>0</v>
      </c>
      <c r="M42" s="140">
        <f t="shared" si="10"/>
        <v>0</v>
      </c>
      <c r="N42" s="140">
        <f t="shared" si="10"/>
        <v>0</v>
      </c>
      <c r="O42" s="140">
        <f t="shared" si="10"/>
        <v>0</v>
      </c>
      <c r="P42" s="140">
        <f t="shared" si="10"/>
        <v>0</v>
      </c>
      <c r="Q42" s="140">
        <f t="shared" si="10"/>
        <v>0</v>
      </c>
      <c r="R42" s="140">
        <f t="shared" si="10"/>
        <v>0</v>
      </c>
    </row>
    <row r="43" spans="1:18" ht="17.25" customHeight="1">
      <c r="A43" s="305" t="s">
        <v>301</v>
      </c>
      <c r="B43" s="306"/>
      <c r="C43" s="306"/>
      <c r="D43" s="306"/>
      <c r="E43" s="306"/>
      <c r="F43" s="306"/>
      <c r="G43" s="306"/>
      <c r="H43" s="306"/>
      <c r="I43" s="306"/>
      <c r="J43" s="306"/>
      <c r="K43" s="306"/>
      <c r="L43" s="306"/>
      <c r="M43" s="306"/>
      <c r="N43" s="306"/>
      <c r="O43" s="306"/>
      <c r="P43" s="306"/>
      <c r="Q43" s="306"/>
      <c r="R43" s="306"/>
    </row>
    <row r="44" spans="1:18" ht="17.399999999999999" customHeight="1">
      <c r="A44" s="300" t="s">
        <v>302</v>
      </c>
      <c r="B44" s="299"/>
      <c r="C44" s="300" t="s">
        <v>303</v>
      </c>
      <c r="D44" s="298"/>
      <c r="E44" s="298"/>
      <c r="F44" s="298"/>
      <c r="G44" s="298"/>
      <c r="H44" s="298"/>
      <c r="I44" s="299"/>
      <c r="J44" s="300" t="s">
        <v>304</v>
      </c>
      <c r="K44" s="298"/>
      <c r="L44" s="298"/>
      <c r="M44" s="298"/>
      <c r="N44" s="298"/>
      <c r="O44" s="298"/>
      <c r="P44" s="298"/>
      <c r="Q44" s="298"/>
      <c r="R44" s="299"/>
    </row>
    <row r="45" spans="1:18" ht="28.05" customHeight="1">
      <c r="A45" s="302" t="s">
        <v>305</v>
      </c>
      <c r="B45" s="299"/>
      <c r="C45" s="297"/>
      <c r="D45" s="298"/>
      <c r="E45" s="298"/>
      <c r="F45" s="298"/>
      <c r="G45" s="298"/>
      <c r="H45" s="298"/>
      <c r="I45" s="299"/>
      <c r="J45" s="297"/>
      <c r="K45" s="298"/>
      <c r="L45" s="298"/>
      <c r="M45" s="298"/>
      <c r="N45" s="298"/>
      <c r="O45" s="298"/>
      <c r="P45" s="298"/>
      <c r="Q45" s="298"/>
      <c r="R45" s="299"/>
    </row>
    <row r="46" spans="1:18" ht="28.05" customHeight="1">
      <c r="A46" s="302" t="s">
        <v>306</v>
      </c>
      <c r="B46" s="299"/>
      <c r="C46" s="297"/>
      <c r="D46" s="298"/>
      <c r="E46" s="298"/>
      <c r="F46" s="298"/>
      <c r="G46" s="298"/>
      <c r="H46" s="298"/>
      <c r="I46" s="299"/>
      <c r="J46" s="297"/>
      <c r="K46" s="298"/>
      <c r="L46" s="298"/>
      <c r="M46" s="298"/>
      <c r="N46" s="298"/>
      <c r="O46" s="298"/>
      <c r="P46" s="298"/>
      <c r="Q46" s="298"/>
      <c r="R46" s="299"/>
    </row>
    <row r="47" spans="1:18" ht="28.05" customHeight="1">
      <c r="A47" s="302" t="s">
        <v>307</v>
      </c>
      <c r="B47" s="299"/>
      <c r="C47" s="297"/>
      <c r="D47" s="298"/>
      <c r="E47" s="298"/>
      <c r="F47" s="298"/>
      <c r="G47" s="298"/>
      <c r="H47" s="298"/>
      <c r="I47" s="299"/>
      <c r="J47" s="297"/>
      <c r="K47" s="298"/>
      <c r="L47" s="298"/>
      <c r="M47" s="298"/>
      <c r="N47" s="298"/>
      <c r="O47" s="298"/>
      <c r="P47" s="298"/>
      <c r="Q47" s="298"/>
      <c r="R47" s="299"/>
    </row>
    <row r="48" spans="1:18" ht="28.05" customHeight="1">
      <c r="A48" s="302" t="s">
        <v>308</v>
      </c>
      <c r="B48" s="299"/>
      <c r="C48" s="297"/>
      <c r="D48" s="298"/>
      <c r="E48" s="298"/>
      <c r="F48" s="298"/>
      <c r="G48" s="298"/>
      <c r="H48" s="298"/>
      <c r="I48" s="299"/>
      <c r="J48" s="297"/>
      <c r="K48" s="298"/>
      <c r="L48" s="298"/>
      <c r="M48" s="298"/>
      <c r="N48" s="298"/>
      <c r="O48" s="298"/>
      <c r="P48" s="298"/>
      <c r="Q48" s="298"/>
      <c r="R48" s="299"/>
    </row>
    <row r="49" spans="1:18" ht="28.05" customHeight="1">
      <c r="A49" s="302" t="s">
        <v>309</v>
      </c>
      <c r="B49" s="299"/>
      <c r="C49" s="297"/>
      <c r="D49" s="298"/>
      <c r="E49" s="298"/>
      <c r="F49" s="298"/>
      <c r="G49" s="298"/>
      <c r="H49" s="298"/>
      <c r="I49" s="299"/>
      <c r="J49" s="297"/>
      <c r="K49" s="298"/>
      <c r="L49" s="298"/>
      <c r="M49" s="298"/>
      <c r="N49" s="298"/>
      <c r="O49" s="298"/>
      <c r="P49" s="298"/>
      <c r="Q49" s="298"/>
      <c r="R49" s="299"/>
    </row>
  </sheetData>
  <mergeCells count="96">
    <mergeCell ref="C36:E36"/>
    <mergeCell ref="A28:A30"/>
    <mergeCell ref="J46:R46"/>
    <mergeCell ref="A18:B18"/>
    <mergeCell ref="C6:R6"/>
    <mergeCell ref="A49:B49"/>
    <mergeCell ref="G25:I25"/>
    <mergeCell ref="F39:I39"/>
    <mergeCell ref="A46:B46"/>
    <mergeCell ref="A43:R43"/>
    <mergeCell ref="A11:A17"/>
    <mergeCell ref="C49:I49"/>
    <mergeCell ref="A20:B20"/>
    <mergeCell ref="F40:I40"/>
    <mergeCell ref="F37:I37"/>
    <mergeCell ref="J49:R49"/>
    <mergeCell ref="B9:B10"/>
    <mergeCell ref="A34:K34"/>
    <mergeCell ref="A19:B19"/>
    <mergeCell ref="M9:O9"/>
    <mergeCell ref="C28:D28"/>
    <mergeCell ref="A26:A27"/>
    <mergeCell ref="E26:F26"/>
    <mergeCell ref="G27:I27"/>
    <mergeCell ref="A9:A10"/>
    <mergeCell ref="E25:F25"/>
    <mergeCell ref="C32:D32"/>
    <mergeCell ref="G30:I30"/>
    <mergeCell ref="C23:D23"/>
    <mergeCell ref="C30:D30"/>
    <mergeCell ref="C31:D31"/>
    <mergeCell ref="E31:F31"/>
    <mergeCell ref="G23:I23"/>
    <mergeCell ref="A1:R1"/>
    <mergeCell ref="C33:D33"/>
    <mergeCell ref="C47:I47"/>
    <mergeCell ref="C24:D26"/>
    <mergeCell ref="A48:B48"/>
    <mergeCell ref="F38:I38"/>
    <mergeCell ref="A40:A41"/>
    <mergeCell ref="G33:I33"/>
    <mergeCell ref="C7:R7"/>
    <mergeCell ref="A21:R21"/>
    <mergeCell ref="C29:D29"/>
    <mergeCell ref="E29:F29"/>
    <mergeCell ref="C48:I48"/>
    <mergeCell ref="G29:I29"/>
    <mergeCell ref="A3:B3"/>
    <mergeCell ref="E30:F30"/>
    <mergeCell ref="A47:B47"/>
    <mergeCell ref="G28:I28"/>
    <mergeCell ref="J48:R48"/>
    <mergeCell ref="A44:B44"/>
    <mergeCell ref="F36:I36"/>
    <mergeCell ref="A31:A33"/>
    <mergeCell ref="C38:E38"/>
    <mergeCell ref="A45:B45"/>
    <mergeCell ref="C37:E37"/>
    <mergeCell ref="J45:R45"/>
    <mergeCell ref="G31:I31"/>
    <mergeCell ref="J47:R47"/>
    <mergeCell ref="F41:I41"/>
    <mergeCell ref="A35:R35"/>
    <mergeCell ref="C45:I45"/>
    <mergeCell ref="C46:I46"/>
    <mergeCell ref="A2:R2"/>
    <mergeCell ref="C3:R3"/>
    <mergeCell ref="D9:F9"/>
    <mergeCell ref="G26:I26"/>
    <mergeCell ref="A22:R22"/>
    <mergeCell ref="C5:R5"/>
    <mergeCell ref="G9:I9"/>
    <mergeCell ref="C4:R4"/>
    <mergeCell ref="A8:R8"/>
    <mergeCell ref="A4:B4"/>
    <mergeCell ref="A6:B6"/>
    <mergeCell ref="P9:R9"/>
    <mergeCell ref="J9:L9"/>
    <mergeCell ref="E24:F24"/>
    <mergeCell ref="A5:B5"/>
    <mergeCell ref="C39:E39"/>
    <mergeCell ref="J44:R44"/>
    <mergeCell ref="E23:F23"/>
    <mergeCell ref="G24:I24"/>
    <mergeCell ref="A7:B7"/>
    <mergeCell ref="E33:F33"/>
    <mergeCell ref="C44:I44"/>
    <mergeCell ref="C27:D27"/>
    <mergeCell ref="E27:F27"/>
    <mergeCell ref="E32:F32"/>
    <mergeCell ref="G32:I32"/>
    <mergeCell ref="C9:C10"/>
    <mergeCell ref="E28:F28"/>
    <mergeCell ref="A42:K42"/>
    <mergeCell ref="C40:E40"/>
    <mergeCell ref="C41:E41"/>
  </mergeCells>
  <phoneticPr fontId="39" type="noConversion"/>
  <conditionalFormatting sqref="R37:R41 R24:R33">
    <cfRule type="expression" dxfId="1" priority="2">
      <formula>AND(OR(N($L24)&lt;&gt;0,N($R24)&lt;&gt;0),ROUND($R24-$L24,2)&lt;&gt;0)</formula>
    </cfRule>
  </conditionalFormatting>
  <pageMargins left="0.75" right="0.75" top="1" bottom="1" header="0.5" footer="0.5"/>
  <pageSetup paperSize="9"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66"/>
  <sheetViews>
    <sheetView view="pageBreakPreview" zoomScale="55" zoomScaleNormal="100" zoomScaleSheetLayoutView="55" zoomScalePageLayoutView="85" workbookViewId="0">
      <selection activeCell="E18" sqref="E18"/>
    </sheetView>
  </sheetViews>
  <sheetFormatPr defaultColWidth="8.796875" defaultRowHeight="13.8"/>
  <cols>
    <col min="1" max="1" width="15" style="31" customWidth="1"/>
    <col min="2" max="2" width="31.59765625" style="31" customWidth="1"/>
    <col min="3" max="3" width="25" style="31" customWidth="1"/>
    <col min="4" max="4" width="23.8984375" style="31" customWidth="1"/>
    <col min="5" max="6" width="25" style="31" customWidth="1"/>
    <col min="7" max="8" width="24" style="31" customWidth="1"/>
    <col min="9" max="9" width="20.69921875" style="31" customWidth="1"/>
    <col min="10" max="11" width="8.796875" style="31" customWidth="1"/>
    <col min="12" max="16384" width="8.796875" style="31"/>
  </cols>
  <sheetData>
    <row r="1" spans="1:9" ht="18" customHeight="1">
      <c r="A1" s="353" t="s">
        <v>310</v>
      </c>
      <c r="B1" s="181"/>
      <c r="C1" s="181"/>
      <c r="D1" s="181"/>
      <c r="E1" s="181"/>
      <c r="F1" s="181"/>
      <c r="G1" s="181"/>
      <c r="H1" s="181"/>
      <c r="I1" s="182"/>
    </row>
    <row r="2" spans="1:9" ht="17.25" customHeight="1">
      <c r="A2" s="338" t="s">
        <v>311</v>
      </c>
      <c r="B2" s="181"/>
      <c r="C2" s="181"/>
      <c r="D2" s="181"/>
      <c r="E2" s="181"/>
      <c r="F2" s="181"/>
      <c r="G2" s="181"/>
      <c r="H2" s="181"/>
      <c r="I2" s="182"/>
    </row>
    <row r="3" spans="1:9" ht="17.399999999999999" customHeight="1">
      <c r="A3" s="354" t="s">
        <v>312</v>
      </c>
      <c r="B3" s="181"/>
      <c r="C3" s="181"/>
      <c r="D3" s="181"/>
      <c r="E3" s="181"/>
      <c r="F3" s="181"/>
      <c r="G3" s="181"/>
      <c r="H3" s="181"/>
      <c r="I3" s="182"/>
    </row>
    <row r="4" spans="1:9" ht="17.399999999999999" customHeight="1">
      <c r="A4" s="323" t="s">
        <v>313</v>
      </c>
      <c r="B4" s="324"/>
      <c r="C4" s="325"/>
      <c r="D4" s="329" t="s">
        <v>122</v>
      </c>
      <c r="E4" s="339" t="s">
        <v>23</v>
      </c>
      <c r="F4" s="181"/>
      <c r="G4" s="181"/>
      <c r="H4" s="181"/>
      <c r="I4" s="182"/>
    </row>
    <row r="5" spans="1:9" ht="17.399999999999999" customHeight="1">
      <c r="A5" s="326"/>
      <c r="B5" s="327"/>
      <c r="C5" s="328"/>
      <c r="D5" s="330"/>
      <c r="E5" s="163" t="s">
        <v>598</v>
      </c>
      <c r="F5" s="163" t="s">
        <v>315</v>
      </c>
      <c r="G5" s="163" t="s">
        <v>316</v>
      </c>
      <c r="H5" s="322" t="s">
        <v>317</v>
      </c>
      <c r="I5" s="182"/>
    </row>
    <row r="6" spans="1:9" ht="25.05" customHeight="1">
      <c r="A6" s="346" t="s">
        <v>314</v>
      </c>
      <c r="B6" s="181"/>
      <c r="C6" s="182"/>
      <c r="D6" s="68"/>
      <c r="E6" s="64"/>
      <c r="F6" s="160"/>
      <c r="G6" s="65"/>
      <c r="H6" s="115"/>
      <c r="I6" s="116"/>
    </row>
    <row r="7" spans="1:9" ht="25.05" customHeight="1">
      <c r="A7" s="346" t="s">
        <v>318</v>
      </c>
      <c r="B7" s="181"/>
      <c r="C7" s="182"/>
      <c r="D7" s="67"/>
      <c r="E7" s="64"/>
      <c r="F7" s="114"/>
      <c r="G7" s="65"/>
      <c r="H7" s="115"/>
      <c r="I7" s="116"/>
    </row>
    <row r="8" spans="1:9" ht="25.05" customHeight="1">
      <c r="A8" s="346" t="s">
        <v>315</v>
      </c>
      <c r="B8" s="256"/>
      <c r="C8" s="63" t="s">
        <v>37</v>
      </c>
      <c r="D8" s="64"/>
      <c r="E8" s="64"/>
      <c r="F8" s="114"/>
      <c r="G8" s="65"/>
      <c r="H8" s="115"/>
      <c r="I8" s="116"/>
    </row>
    <row r="9" spans="1:9" ht="25.05" customHeight="1">
      <c r="A9" s="257"/>
      <c r="B9" s="259"/>
      <c r="C9" s="63" t="s">
        <v>38</v>
      </c>
      <c r="D9" s="65"/>
      <c r="E9" s="64"/>
      <c r="F9" s="114"/>
      <c r="G9" s="65"/>
      <c r="H9" s="115"/>
      <c r="I9" s="116"/>
    </row>
    <row r="10" spans="1:9" ht="96.6" customHeight="1">
      <c r="A10" s="356" t="s">
        <v>319</v>
      </c>
      <c r="B10" s="181"/>
      <c r="C10" s="182"/>
      <c r="D10" s="117"/>
      <c r="E10" s="357" t="s">
        <v>320</v>
      </c>
      <c r="F10" s="181"/>
      <c r="G10" s="181"/>
      <c r="H10" s="181"/>
      <c r="I10" s="116"/>
    </row>
    <row r="11" spans="1:9" ht="70.2" customHeight="1">
      <c r="A11" s="346" t="s">
        <v>321</v>
      </c>
      <c r="B11" s="181"/>
      <c r="C11" s="182"/>
      <c r="D11" s="65"/>
      <c r="E11" s="358" t="s">
        <v>322</v>
      </c>
      <c r="F11" s="181"/>
      <c r="G11" s="181"/>
      <c r="H11" s="181"/>
      <c r="I11" s="182"/>
    </row>
    <row r="12" spans="1:9" ht="70.2" customHeight="1">
      <c r="A12" s="346" t="s">
        <v>597</v>
      </c>
      <c r="B12" s="181"/>
      <c r="C12" s="182"/>
      <c r="D12" s="65"/>
      <c r="E12" s="358" t="s">
        <v>323</v>
      </c>
      <c r="F12" s="181"/>
      <c r="G12" s="181"/>
      <c r="H12" s="181"/>
      <c r="I12" s="182"/>
    </row>
    <row r="13" spans="1:9" ht="70.2" customHeight="1">
      <c r="A13" s="346" t="s">
        <v>324</v>
      </c>
      <c r="B13" s="181"/>
      <c r="C13" s="182"/>
      <c r="D13" s="65"/>
      <c r="E13" s="358" t="s">
        <v>325</v>
      </c>
      <c r="F13" s="255"/>
      <c r="G13" s="255"/>
      <c r="H13" s="255"/>
      <c r="I13" s="256"/>
    </row>
    <row r="14" spans="1:9" ht="70.2" customHeight="1">
      <c r="A14" s="346" t="s">
        <v>326</v>
      </c>
      <c r="B14" s="181"/>
      <c r="C14" s="182"/>
      <c r="D14" s="65"/>
      <c r="E14" s="257"/>
      <c r="F14" s="258"/>
      <c r="G14" s="258"/>
      <c r="H14" s="258"/>
      <c r="I14" s="259"/>
    </row>
    <row r="15" spans="1:9" ht="18" customHeight="1">
      <c r="A15" s="354" t="s">
        <v>327</v>
      </c>
      <c r="B15" s="181"/>
      <c r="C15" s="181"/>
      <c r="D15" s="181"/>
      <c r="E15" s="181"/>
      <c r="F15" s="181"/>
      <c r="G15" s="181"/>
      <c r="H15" s="181"/>
      <c r="I15" s="182"/>
    </row>
    <row r="16" spans="1:9" ht="14.85" customHeight="1">
      <c r="A16" s="331" t="s">
        <v>328</v>
      </c>
      <c r="B16" s="182"/>
      <c r="C16" s="107" t="s">
        <v>329</v>
      </c>
      <c r="D16" s="107" t="s">
        <v>330</v>
      </c>
      <c r="E16" s="108" t="s">
        <v>331</v>
      </c>
      <c r="F16" s="344" t="s">
        <v>332</v>
      </c>
      <c r="G16" s="181"/>
      <c r="H16" s="181"/>
      <c r="I16" s="182"/>
    </row>
    <row r="17" spans="1:9" ht="30.75" customHeight="1">
      <c r="A17" s="345"/>
      <c r="B17" s="182"/>
      <c r="C17" s="106"/>
      <c r="D17" s="106"/>
      <c r="E17" s="106"/>
      <c r="F17" s="341"/>
      <c r="G17" s="181"/>
      <c r="H17" s="181"/>
      <c r="I17" s="182"/>
    </row>
    <row r="18" spans="1:9" ht="30.75" customHeight="1">
      <c r="A18" s="345"/>
      <c r="B18" s="182"/>
      <c r="C18" s="106"/>
      <c r="D18" s="106"/>
      <c r="E18" s="106"/>
      <c r="F18" s="341"/>
      <c r="G18" s="181"/>
      <c r="H18" s="181"/>
      <c r="I18" s="182"/>
    </row>
    <row r="19" spans="1:9" ht="30.75" customHeight="1">
      <c r="A19" s="345"/>
      <c r="B19" s="182"/>
      <c r="C19" s="106"/>
      <c r="D19" s="106"/>
      <c r="E19" s="106"/>
      <c r="F19" s="341"/>
      <c r="G19" s="181"/>
      <c r="H19" s="181"/>
      <c r="I19" s="182"/>
    </row>
    <row r="20" spans="1:9" ht="17.399999999999999" customHeight="1">
      <c r="A20" s="338" t="s">
        <v>301</v>
      </c>
      <c r="B20" s="181"/>
      <c r="C20" s="181"/>
      <c r="D20" s="181"/>
      <c r="E20" s="181"/>
      <c r="F20" s="181"/>
      <c r="G20" s="181"/>
      <c r="H20" s="181"/>
      <c r="I20" s="182"/>
    </row>
    <row r="21" spans="1:9" ht="17.399999999999999">
      <c r="A21" s="342" t="s">
        <v>303</v>
      </c>
      <c r="B21" s="181"/>
      <c r="C21" s="182"/>
      <c r="D21" s="342" t="s">
        <v>304</v>
      </c>
      <c r="E21" s="181"/>
      <c r="F21" s="181"/>
      <c r="G21" s="181"/>
      <c r="H21" s="181"/>
      <c r="I21" s="182"/>
    </row>
    <row r="22" spans="1:9" ht="48" customHeight="1">
      <c r="A22" s="335" t="s">
        <v>333</v>
      </c>
      <c r="B22" s="181"/>
      <c r="C22" s="182"/>
      <c r="D22" s="335" t="s">
        <v>334</v>
      </c>
      <c r="E22" s="181"/>
      <c r="F22" s="181"/>
      <c r="G22" s="181"/>
      <c r="H22" s="181"/>
      <c r="I22" s="182"/>
    </row>
    <row r="23" spans="1:9" ht="48" customHeight="1">
      <c r="A23" s="340"/>
      <c r="B23" s="181"/>
      <c r="C23" s="182"/>
      <c r="D23" s="345"/>
      <c r="E23" s="181"/>
      <c r="F23" s="181"/>
      <c r="G23" s="181"/>
      <c r="H23" s="181"/>
      <c r="I23" s="182"/>
    </row>
    <row r="24" spans="1:9" ht="48" customHeight="1">
      <c r="A24" s="340"/>
      <c r="B24" s="181"/>
      <c r="C24" s="182"/>
      <c r="D24" s="345"/>
      <c r="E24" s="181"/>
      <c r="F24" s="181"/>
      <c r="G24" s="181"/>
      <c r="H24" s="181"/>
      <c r="I24" s="182"/>
    </row>
    <row r="25" spans="1:9" ht="17.25" customHeight="1">
      <c r="A25" s="338" t="s">
        <v>335</v>
      </c>
      <c r="B25" s="181"/>
      <c r="C25" s="181"/>
      <c r="D25" s="181"/>
      <c r="E25" s="181"/>
      <c r="F25" s="181"/>
      <c r="G25" s="181"/>
      <c r="H25" s="181"/>
      <c r="I25" s="182"/>
    </row>
    <row r="26" spans="1:9" ht="111.75" customHeight="1">
      <c r="A26" s="359" t="s">
        <v>336</v>
      </c>
      <c r="B26" s="181"/>
      <c r="C26" s="181"/>
      <c r="D26" s="181"/>
      <c r="E26" s="181"/>
      <c r="F26" s="181"/>
      <c r="G26" s="181"/>
      <c r="H26" s="181"/>
      <c r="I26" s="182"/>
    </row>
    <row r="27" spans="1:9" ht="17.399999999999999" customHeight="1">
      <c r="A27" s="338" t="s">
        <v>337</v>
      </c>
      <c r="B27" s="181"/>
      <c r="C27" s="181"/>
      <c r="D27" s="181"/>
      <c r="E27" s="181"/>
      <c r="F27" s="181"/>
      <c r="G27" s="181"/>
      <c r="H27" s="181"/>
      <c r="I27" s="182"/>
    </row>
    <row r="28" spans="1:9" ht="17.399999999999999" customHeight="1">
      <c r="A28" s="342" t="s">
        <v>22</v>
      </c>
      <c r="B28" s="182"/>
      <c r="C28" s="342" t="s">
        <v>23</v>
      </c>
      <c r="D28" s="181"/>
      <c r="E28" s="181"/>
      <c r="F28" s="181"/>
      <c r="G28" s="181"/>
      <c r="H28" s="181"/>
      <c r="I28" s="182"/>
    </row>
    <row r="29" spans="1:9" ht="69" customHeight="1">
      <c r="A29" s="347" t="s">
        <v>338</v>
      </c>
      <c r="B29" s="182"/>
      <c r="C29" s="336" t="s">
        <v>339</v>
      </c>
      <c r="D29" s="181"/>
      <c r="E29" s="181"/>
      <c r="F29" s="181"/>
      <c r="G29" s="181"/>
      <c r="H29" s="181"/>
      <c r="I29" s="182"/>
    </row>
    <row r="30" spans="1:9" ht="69" customHeight="1">
      <c r="A30" s="347" t="s">
        <v>340</v>
      </c>
      <c r="B30" s="182"/>
      <c r="C30" s="336" t="s">
        <v>341</v>
      </c>
      <c r="D30" s="181"/>
      <c r="E30" s="181"/>
      <c r="F30" s="181"/>
      <c r="G30" s="181"/>
      <c r="H30" s="181"/>
      <c r="I30" s="182"/>
    </row>
    <row r="31" spans="1:9" ht="17.399999999999999" customHeight="1">
      <c r="A31" s="349" t="s">
        <v>342</v>
      </c>
      <c r="B31" s="181"/>
      <c r="C31" s="181"/>
      <c r="D31" s="181"/>
      <c r="E31" s="181"/>
      <c r="F31" s="181"/>
      <c r="G31" s="181"/>
      <c r="H31" s="181"/>
      <c r="I31" s="182"/>
    </row>
    <row r="32" spans="1:9" ht="17.399999999999999" customHeight="1">
      <c r="A32" s="354" t="s">
        <v>343</v>
      </c>
      <c r="B32" s="181"/>
      <c r="C32" s="181"/>
      <c r="D32" s="181"/>
      <c r="E32" s="181"/>
      <c r="F32" s="181"/>
      <c r="G32" s="181"/>
      <c r="H32" s="181"/>
      <c r="I32" s="182"/>
    </row>
    <row r="33" spans="1:9" ht="17.399999999999999" customHeight="1">
      <c r="A33" s="350" t="s">
        <v>344</v>
      </c>
      <c r="B33" s="182"/>
      <c r="C33" s="104"/>
      <c r="D33" s="104"/>
      <c r="E33" s="104"/>
      <c r="F33" s="105" t="s">
        <v>88</v>
      </c>
      <c r="G33" s="32"/>
      <c r="H33" s="33"/>
      <c r="I33" s="34"/>
    </row>
    <row r="34" spans="1:9" ht="17.399999999999999" customHeight="1">
      <c r="A34" s="343" t="s">
        <v>345</v>
      </c>
      <c r="B34" s="182"/>
      <c r="C34" s="35" t="s">
        <v>150</v>
      </c>
      <c r="D34" s="35" t="s">
        <v>151</v>
      </c>
      <c r="E34" s="35" t="s">
        <v>152</v>
      </c>
      <c r="F34" s="35" t="s">
        <v>153</v>
      </c>
      <c r="G34" s="35" t="s">
        <v>154</v>
      </c>
      <c r="H34" s="35" t="s">
        <v>189</v>
      </c>
      <c r="I34" s="35" t="s">
        <v>346</v>
      </c>
    </row>
    <row r="35" spans="1:9" ht="17.399999999999999" customHeight="1">
      <c r="A35" s="351" t="s">
        <v>347</v>
      </c>
      <c r="B35" s="182"/>
      <c r="C35" s="144">
        <f>SUM(C36:C39)</f>
        <v>0</v>
      </c>
      <c r="D35" s="144">
        <f>SUM(D36:D39)</f>
        <v>0</v>
      </c>
      <c r="E35" s="144">
        <f>SUM(E36:E39)</f>
        <v>0</v>
      </c>
      <c r="F35" s="144">
        <f>SUM(F36:F39)</f>
        <v>0</v>
      </c>
      <c r="G35" s="144">
        <f>SUM(G36:G39)</f>
        <v>0</v>
      </c>
      <c r="H35" s="144">
        <f t="shared" ref="H35:H46" si="0">SUM(C35:G35)</f>
        <v>0</v>
      </c>
      <c r="I35" s="145" t="str">
        <f>IFERROR(H35/H47,"")</f>
        <v/>
      </c>
    </row>
    <row r="36" spans="1:9" ht="17.399999999999999" customHeight="1">
      <c r="A36" s="350" t="s">
        <v>348</v>
      </c>
      <c r="B36" s="182"/>
      <c r="C36" s="146"/>
      <c r="D36" s="146"/>
      <c r="E36" s="146"/>
      <c r="F36" s="146"/>
      <c r="G36" s="146"/>
      <c r="H36" s="147">
        <f t="shared" si="0"/>
        <v>0</v>
      </c>
      <c r="I36" s="148" t="str">
        <f>IFERROR(H36/H47,"")</f>
        <v/>
      </c>
    </row>
    <row r="37" spans="1:9" ht="17.399999999999999" customHeight="1">
      <c r="A37" s="350" t="s">
        <v>349</v>
      </c>
      <c r="B37" s="182"/>
      <c r="C37" s="146"/>
      <c r="D37" s="146"/>
      <c r="E37" s="146"/>
      <c r="F37" s="146"/>
      <c r="G37" s="146"/>
      <c r="H37" s="147">
        <f t="shared" si="0"/>
        <v>0</v>
      </c>
      <c r="I37" s="148" t="str">
        <f>IFERROR(H37/H47,"")</f>
        <v/>
      </c>
    </row>
    <row r="38" spans="1:9" ht="17.399999999999999" customHeight="1">
      <c r="A38" s="350" t="s">
        <v>350</v>
      </c>
      <c r="B38" s="182"/>
      <c r="C38" s="146"/>
      <c r="D38" s="146"/>
      <c r="E38" s="146"/>
      <c r="F38" s="146"/>
      <c r="G38" s="146"/>
      <c r="H38" s="147">
        <f t="shared" si="0"/>
        <v>0</v>
      </c>
      <c r="I38" s="148" t="str">
        <f>IFERROR(H38/H47,"")</f>
        <v/>
      </c>
    </row>
    <row r="39" spans="1:9" ht="17.399999999999999" customHeight="1">
      <c r="A39" s="350" t="s">
        <v>351</v>
      </c>
      <c r="B39" s="182"/>
      <c r="C39" s="146"/>
      <c r="D39" s="146"/>
      <c r="E39" s="146"/>
      <c r="F39" s="146"/>
      <c r="G39" s="146"/>
      <c r="H39" s="147">
        <f t="shared" si="0"/>
        <v>0</v>
      </c>
      <c r="I39" s="148" t="str">
        <f>IFERROR(H39/H47,"")</f>
        <v/>
      </c>
    </row>
    <row r="40" spans="1:9" ht="17.399999999999999" customHeight="1">
      <c r="A40" s="351" t="s">
        <v>352</v>
      </c>
      <c r="B40" s="182"/>
      <c r="C40" s="144">
        <f>SUM(C41:C46)</f>
        <v>0</v>
      </c>
      <c r="D40" s="144">
        <f>SUM(D41:D46)</f>
        <v>0</v>
      </c>
      <c r="E40" s="144">
        <f>SUM(E41:E46)</f>
        <v>0</v>
      </c>
      <c r="F40" s="144">
        <f>SUM(F41:F46)</f>
        <v>0</v>
      </c>
      <c r="G40" s="144">
        <f>SUM(G41:G46)</f>
        <v>0</v>
      </c>
      <c r="H40" s="144">
        <f t="shared" si="0"/>
        <v>0</v>
      </c>
      <c r="I40" s="145" t="str">
        <f>IFERROR(H40/H47,"")</f>
        <v/>
      </c>
    </row>
    <row r="41" spans="1:9" ht="17.399999999999999" customHeight="1">
      <c r="A41" s="337" t="s">
        <v>353</v>
      </c>
      <c r="B41" s="182"/>
      <c r="C41" s="146"/>
      <c r="D41" s="146"/>
      <c r="E41" s="146"/>
      <c r="F41" s="146"/>
      <c r="G41" s="146"/>
      <c r="H41" s="147">
        <f t="shared" si="0"/>
        <v>0</v>
      </c>
      <c r="I41" s="148" t="str">
        <f>IFERROR(H41/H47,"")</f>
        <v/>
      </c>
    </row>
    <row r="42" spans="1:9" ht="17.399999999999999" customHeight="1">
      <c r="A42" s="337" t="s">
        <v>354</v>
      </c>
      <c r="B42" s="182"/>
      <c r="C42" s="146"/>
      <c r="D42" s="146"/>
      <c r="E42" s="146"/>
      <c r="F42" s="146"/>
      <c r="G42" s="146"/>
      <c r="H42" s="147">
        <f t="shared" si="0"/>
        <v>0</v>
      </c>
      <c r="I42" s="148" t="str">
        <f>IFERROR(H42/H47,"")</f>
        <v/>
      </c>
    </row>
    <row r="43" spans="1:9" ht="17.399999999999999" customHeight="1">
      <c r="A43" s="337" t="s">
        <v>355</v>
      </c>
      <c r="B43" s="182"/>
      <c r="C43" s="146"/>
      <c r="D43" s="146"/>
      <c r="E43" s="146"/>
      <c r="F43" s="146"/>
      <c r="G43" s="146"/>
      <c r="H43" s="147">
        <f t="shared" si="0"/>
        <v>0</v>
      </c>
      <c r="I43" s="148" t="str">
        <f>IFERROR(H43/H47,"")</f>
        <v/>
      </c>
    </row>
    <row r="44" spans="1:9" ht="17.399999999999999" customHeight="1">
      <c r="A44" s="337" t="s">
        <v>356</v>
      </c>
      <c r="B44" s="182"/>
      <c r="C44" s="146"/>
      <c r="D44" s="146"/>
      <c r="E44" s="146"/>
      <c r="F44" s="146"/>
      <c r="G44" s="146"/>
      <c r="H44" s="147">
        <f t="shared" si="0"/>
        <v>0</v>
      </c>
      <c r="I44" s="148" t="str">
        <f>IFERROR(H44/H47,"")</f>
        <v/>
      </c>
    </row>
    <row r="45" spans="1:9" ht="17.399999999999999" customHeight="1">
      <c r="A45" s="337" t="s">
        <v>357</v>
      </c>
      <c r="B45" s="182"/>
      <c r="C45" s="146"/>
      <c r="D45" s="146"/>
      <c r="E45" s="146"/>
      <c r="F45" s="146"/>
      <c r="G45" s="146"/>
      <c r="H45" s="147">
        <f t="shared" si="0"/>
        <v>0</v>
      </c>
      <c r="I45" s="148" t="str">
        <f>IFERROR(H45/H47,"")</f>
        <v/>
      </c>
    </row>
    <row r="46" spans="1:9" ht="17.399999999999999" customHeight="1">
      <c r="A46" s="337" t="s">
        <v>294</v>
      </c>
      <c r="B46" s="182"/>
      <c r="C46" s="146"/>
      <c r="D46" s="146"/>
      <c r="E46" s="146"/>
      <c r="F46" s="146"/>
      <c r="G46" s="146"/>
      <c r="H46" s="147">
        <f t="shared" si="0"/>
        <v>0</v>
      </c>
      <c r="I46" s="148" t="str">
        <f>IFERROR(H46/H47,"")</f>
        <v/>
      </c>
    </row>
    <row r="47" spans="1:9" ht="17.399999999999999" customHeight="1">
      <c r="A47" s="351" t="s">
        <v>358</v>
      </c>
      <c r="B47" s="182"/>
      <c r="C47" s="144">
        <f t="shared" ref="C47:H47" si="1">C40+C35</f>
        <v>0</v>
      </c>
      <c r="D47" s="144">
        <f t="shared" si="1"/>
        <v>0</v>
      </c>
      <c r="E47" s="144">
        <f t="shared" si="1"/>
        <v>0</v>
      </c>
      <c r="F47" s="144">
        <f t="shared" si="1"/>
        <v>0</v>
      </c>
      <c r="G47" s="144">
        <f t="shared" si="1"/>
        <v>0</v>
      </c>
      <c r="H47" s="144">
        <f t="shared" si="1"/>
        <v>0</v>
      </c>
      <c r="I47" s="145"/>
    </row>
    <row r="48" spans="1:9" ht="17.399999999999999" customHeight="1">
      <c r="A48" s="354" t="s">
        <v>359</v>
      </c>
      <c r="B48" s="181"/>
      <c r="C48" s="181"/>
      <c r="D48" s="181"/>
      <c r="E48" s="181"/>
      <c r="F48" s="181"/>
      <c r="G48" s="181"/>
      <c r="H48" s="181"/>
      <c r="I48" s="182"/>
    </row>
    <row r="49" spans="1:9" ht="13.5" customHeight="1">
      <c r="A49" s="332" t="s">
        <v>360</v>
      </c>
      <c r="B49" s="36" t="s">
        <v>276</v>
      </c>
      <c r="C49" s="146">
        <f>'4. Child Sponsorship Management'!M34+'4. Child Sponsorship Management'!M42</f>
        <v>0</v>
      </c>
      <c r="D49" s="146">
        <f>'4. Child Sponsorship Management'!N34+'4. Child Sponsorship Management'!N42</f>
        <v>0</v>
      </c>
      <c r="E49" s="146">
        <f>'4. Child Sponsorship Management'!O34+'4. Child Sponsorship Management'!O42</f>
        <v>0</v>
      </c>
      <c r="F49" s="146">
        <f>'4. Child Sponsorship Management'!P34+'4. Child Sponsorship Management'!P42</f>
        <v>0</v>
      </c>
      <c r="G49" s="146">
        <f>'4. Child Sponsorship Management'!Q34+'4. Child Sponsorship Management'!Q42</f>
        <v>0</v>
      </c>
      <c r="H49" s="146">
        <f>'4. Child Sponsorship Management'!R34+'4. Child Sponsorship Management'!R42</f>
        <v>0</v>
      </c>
      <c r="I49" s="148" t="str">
        <f>IFERROR(H49/H58,"")</f>
        <v/>
      </c>
    </row>
    <row r="50" spans="1:9">
      <c r="A50" s="333"/>
      <c r="B50" s="36" t="s">
        <v>283</v>
      </c>
      <c r="C50" s="164">
        <f>IFERROR(INDEX('3. Sector_Education'!K:K,MATCH("Education Total",'3. Sector_Education'!$A:$A,0)),0)</f>
        <v>0</v>
      </c>
      <c r="D50" s="164">
        <f>IFERROR(INDEX('3. Sector_Education'!L:L,MATCH("Education Total",'3. Sector_Education'!$A:$A,0)),0)</f>
        <v>0</v>
      </c>
      <c r="E50" s="164">
        <f>IFERROR(INDEX('3. Sector_Education'!M:M,MATCH("Education Total",'3. Sector_Education'!$A:$A,0)),0)</f>
        <v>0</v>
      </c>
      <c r="F50" s="164">
        <f>IFERROR(INDEX('3. Sector_Education'!N:N,MATCH("Education Total",'3. Sector_Education'!$A:$A,0)),0)</f>
        <v>0</v>
      </c>
      <c r="G50" s="164">
        <f>IFERROR(INDEX('3. Sector_Education'!O:O,MATCH("Education Total",'3. Sector_Education'!$A:$A,0)),0)</f>
        <v>0</v>
      </c>
      <c r="H50" s="147">
        <f t="shared" ref="H50:H58" si="2">SUM(C50:G50)</f>
        <v>0</v>
      </c>
      <c r="I50" s="148" t="str">
        <f>IFERROR(H50/H58,"")</f>
        <v/>
      </c>
    </row>
    <row r="51" spans="1:9">
      <c r="A51" s="333"/>
      <c r="B51" s="36" t="s">
        <v>288</v>
      </c>
      <c r="C51" s="164">
        <f>IFERROR(INDEX('3. Sector_Health &amp; Well-being'!K:K,MATCH("Health &amp; Well-being Total",'3. Sector_Health &amp; Well-being'!$A:$A,0)),0)</f>
        <v>0</v>
      </c>
      <c r="D51" s="164">
        <f>IFERROR(INDEX('3. Sector_Health &amp; Well-being'!L:L,MATCH("Health &amp; Well-being Total",'3. Sector_Health &amp; Well-being'!$A:$A,0)),0)</f>
        <v>0</v>
      </c>
      <c r="E51" s="164">
        <f>IFERROR(INDEX('3. Sector_Health &amp; Well-being'!M:M,MATCH("Health &amp; Well-being Total",'3. Sector_Health &amp; Well-being'!$A:$A,0)),0)</f>
        <v>0</v>
      </c>
      <c r="F51" s="164">
        <f>IFERROR(INDEX('3. Sector_Health &amp; Well-being'!N:N,MATCH("Health &amp; Well-being Total",'3. Sector_Health &amp; Well-being'!$A:$A,0)),0)</f>
        <v>0</v>
      </c>
      <c r="G51" s="164">
        <f>IFERROR(INDEX('3. Sector_Health &amp; Well-being'!O:O,MATCH("Health &amp; Well-being Total",'3. Sector_Health &amp; Well-being'!$A:$A,0)),0)</f>
        <v>0</v>
      </c>
      <c r="H51" s="147">
        <f t="shared" si="2"/>
        <v>0</v>
      </c>
      <c r="I51" s="148" t="str">
        <f>IFERROR(H51/H58,"")</f>
        <v/>
      </c>
    </row>
    <row r="52" spans="1:9">
      <c r="A52" s="333"/>
      <c r="B52" s="36" t="s">
        <v>361</v>
      </c>
      <c r="C52" s="164">
        <f>IFERROR(INDEX('3. Sector_Economic Empowerment'!K:K,MATCH("Economic Empowerment Total",'3. Sector_Economic Empowerment'!$A:$A,0)),0)</f>
        <v>0</v>
      </c>
      <c r="D52" s="164">
        <f>IFERROR(INDEX('3. Sector_Economic Empowerment'!L:L,MATCH("Economic Empowerment Total",'3. Sector_Economic Empowerment'!$A:$A,0)),0)</f>
        <v>0</v>
      </c>
      <c r="E52" s="164">
        <f>IFERROR(INDEX('3. Sector_Economic Empowerment'!M:M,MATCH("Economic Empowerment Total",'3. Sector_Economic Empowerment'!$A:$A,0)),0)</f>
        <v>0</v>
      </c>
      <c r="F52" s="164">
        <f>IFERROR(INDEX('3. Sector_Economic Empowerment'!N:N,MATCH("Economic Empowerment Total",'3. Sector_Economic Empowerment'!$A:$A,0)),0)</f>
        <v>0</v>
      </c>
      <c r="G52" s="164">
        <f>IFERROR(INDEX('3. Sector_Economic Empowerment'!O:O,MATCH("Economic Empowerment Total",'3. Sector_Economic Empowerment'!$A:$A,0)),0)</f>
        <v>0</v>
      </c>
      <c r="H52" s="147">
        <f t="shared" si="2"/>
        <v>0</v>
      </c>
      <c r="I52" s="148" t="str">
        <f>IFERROR(H52/H58,"")</f>
        <v/>
      </c>
    </row>
    <row r="53" spans="1:9">
      <c r="A53" s="333"/>
      <c r="B53" s="36" t="s">
        <v>280</v>
      </c>
      <c r="C53" s="164">
        <f>IFERROR(INDEX('3. Sector_Child Protection'!K:K,MATCH("Child Protection Total",'3. Sector_Child Protection'!$A:$A,0)),0)</f>
        <v>0</v>
      </c>
      <c r="D53" s="164">
        <f>IFERROR(INDEX('3. Sector_Child Protection'!L:L,MATCH("Child Protection Total",'3. Sector_Child Protection'!$A:$A,0)),0)</f>
        <v>0</v>
      </c>
      <c r="E53" s="164">
        <f>IFERROR(INDEX('3. Sector_Child Protection'!M:M,MATCH("Child Protection Total",'3. Sector_Child Protection'!$A:$A,0)),0)</f>
        <v>0</v>
      </c>
      <c r="F53" s="164">
        <f>IFERROR(INDEX('3. Sector_Child Protection'!N:N,MATCH("Child Protection Total",'3. Sector_Child Protection'!$A:$A,0)),0)</f>
        <v>0</v>
      </c>
      <c r="G53" s="164">
        <f>IFERROR(INDEX('3. Sector_Child Protection'!O:O,MATCH("Child Protection Total",'3. Sector_Child Protection'!$A:$A,0)),0)</f>
        <v>0</v>
      </c>
      <c r="H53" s="147">
        <f t="shared" si="2"/>
        <v>0</v>
      </c>
      <c r="I53" s="148" t="str">
        <f>IFERROR(H53/H58,"")</f>
        <v/>
      </c>
    </row>
    <row r="54" spans="1:9">
      <c r="A54" s="270"/>
      <c r="B54" s="36" t="s">
        <v>294</v>
      </c>
      <c r="C54" s="164">
        <f>IFERROR(INDEX('3. Sector_Others'!K:K,MATCH("Others Total",'3. Sector_Others'!$A:$A,0)),0)</f>
        <v>0</v>
      </c>
      <c r="D54" s="164">
        <f>IFERROR(INDEX('3. Sector_Others'!L:L,MATCH("Others Total",'3. Sector_Others'!$A:$A,0)),0)</f>
        <v>0</v>
      </c>
      <c r="E54" s="164">
        <f>IFERROR(INDEX('3. Sector_Others'!M:M,MATCH("Others Total",'3. Sector_Others'!$A:$A,0)),0)</f>
        <v>0</v>
      </c>
      <c r="F54" s="164">
        <f>IFERROR(INDEX('3. Sector_Others'!N:N,MATCH("Others Total",'3. Sector_Others'!$A:$A,0)),0)</f>
        <v>0</v>
      </c>
      <c r="G54" s="164">
        <f>IFERROR(INDEX('3. Sector_Others'!O:O,MATCH("Others Total",'3. Sector_Others'!$A:$A,0)),0)</f>
        <v>0</v>
      </c>
      <c r="H54" s="147">
        <f t="shared" si="2"/>
        <v>0</v>
      </c>
      <c r="I54" s="148" t="str">
        <f>IFERROR(H54/H58,"")</f>
        <v/>
      </c>
    </row>
    <row r="55" spans="1:9" ht="13.5" customHeight="1">
      <c r="A55" s="332" t="s">
        <v>362</v>
      </c>
      <c r="B55" s="36" t="s">
        <v>363</v>
      </c>
      <c r="C55" s="149"/>
      <c r="D55" s="149"/>
      <c r="E55" s="149"/>
      <c r="F55" s="149"/>
      <c r="G55" s="149"/>
      <c r="H55" s="150">
        <f t="shared" si="2"/>
        <v>0</v>
      </c>
      <c r="I55" s="148" t="str">
        <f>IFERROR(H55/H58,"")</f>
        <v/>
      </c>
    </row>
    <row r="56" spans="1:9">
      <c r="A56" s="333"/>
      <c r="B56" s="36" t="s">
        <v>364</v>
      </c>
      <c r="C56" s="149"/>
      <c r="D56" s="149"/>
      <c r="E56" s="149"/>
      <c r="F56" s="149"/>
      <c r="G56" s="149"/>
      <c r="H56" s="150">
        <f t="shared" si="2"/>
        <v>0</v>
      </c>
      <c r="I56" s="148" t="str">
        <f>IFERROR(H56/H58,"")</f>
        <v/>
      </c>
    </row>
    <row r="57" spans="1:9">
      <c r="A57" s="270"/>
      <c r="B57" s="36" t="s">
        <v>362</v>
      </c>
      <c r="C57" s="149"/>
      <c r="D57" s="149"/>
      <c r="E57" s="149"/>
      <c r="F57" s="149"/>
      <c r="G57" s="149"/>
      <c r="H57" s="150">
        <f t="shared" si="2"/>
        <v>0</v>
      </c>
      <c r="I57" s="148" t="str">
        <f>IFERROR(H57/H58,"")</f>
        <v/>
      </c>
    </row>
    <row r="58" spans="1:9" ht="17.399999999999999" customHeight="1">
      <c r="A58" s="352" t="s">
        <v>365</v>
      </c>
      <c r="B58" s="182"/>
      <c r="C58" s="151">
        <f>SUM(C49:C57)</f>
        <v>0</v>
      </c>
      <c r="D58" s="151">
        <f>SUM(D49:D57)</f>
        <v>0</v>
      </c>
      <c r="E58" s="151">
        <f>SUM(E49:E57)</f>
        <v>0</v>
      </c>
      <c r="F58" s="151">
        <f>SUM(F49:F57)</f>
        <v>0</v>
      </c>
      <c r="G58" s="151">
        <f>SUM(G49:G57)</f>
        <v>0</v>
      </c>
      <c r="H58" s="152">
        <f t="shared" si="2"/>
        <v>0</v>
      </c>
      <c r="I58" s="153" t="str">
        <f>IFERROR(H58/H58,"")</f>
        <v/>
      </c>
    </row>
    <row r="59" spans="1:9" ht="17.399999999999999" customHeight="1">
      <c r="A59" s="352" t="s">
        <v>366</v>
      </c>
      <c r="B59" s="182"/>
      <c r="C59" s="154">
        <f>C47-C58</f>
        <v>0</v>
      </c>
      <c r="D59" s="154">
        <f>C59+D47-D58</f>
        <v>0</v>
      </c>
      <c r="E59" s="154">
        <f>D59+E47-E58</f>
        <v>0</v>
      </c>
      <c r="F59" s="154">
        <f>E59+F47-F58</f>
        <v>0</v>
      </c>
      <c r="G59" s="155">
        <f>F59+G47-G58</f>
        <v>0</v>
      </c>
      <c r="H59" s="151">
        <f>H47-H58</f>
        <v>0</v>
      </c>
      <c r="I59" s="156"/>
    </row>
    <row r="60" spans="1:9" ht="17.399999999999999" customHeight="1">
      <c r="A60" s="349" t="s">
        <v>367</v>
      </c>
      <c r="B60" s="181"/>
      <c r="C60" s="181"/>
      <c r="D60" s="181"/>
      <c r="E60" s="181"/>
      <c r="F60" s="181"/>
      <c r="G60" s="181"/>
      <c r="H60" s="181"/>
      <c r="I60" s="182"/>
    </row>
    <row r="61" spans="1:9" ht="17.399999999999999" customHeight="1">
      <c r="A61" s="355" t="s">
        <v>368</v>
      </c>
      <c r="B61" s="182"/>
      <c r="C61" s="105" t="s">
        <v>369</v>
      </c>
      <c r="D61" s="105" t="s">
        <v>370</v>
      </c>
      <c r="E61" s="105" t="s">
        <v>371</v>
      </c>
      <c r="F61" s="355" t="s">
        <v>372</v>
      </c>
      <c r="G61" s="182"/>
      <c r="H61" s="355" t="s">
        <v>88</v>
      </c>
      <c r="I61" s="182"/>
    </row>
    <row r="62" spans="1:9" ht="17.399999999999999" customHeight="1">
      <c r="A62" s="334"/>
      <c r="B62" s="182"/>
      <c r="C62" s="104"/>
      <c r="D62" s="104"/>
      <c r="E62" s="104"/>
      <c r="F62" s="348"/>
      <c r="G62" s="182"/>
      <c r="H62" s="348"/>
      <c r="I62" s="182"/>
    </row>
    <row r="63" spans="1:9" ht="17.399999999999999" customHeight="1">
      <c r="A63" s="334"/>
      <c r="B63" s="182"/>
      <c r="C63" s="104"/>
      <c r="D63" s="104"/>
      <c r="E63" s="104"/>
      <c r="F63" s="348"/>
      <c r="G63" s="182"/>
      <c r="H63" s="348"/>
      <c r="I63" s="182"/>
    </row>
    <row r="64" spans="1:9" ht="17.399999999999999" customHeight="1">
      <c r="A64" s="334"/>
      <c r="B64" s="182"/>
      <c r="C64" s="104"/>
      <c r="D64" s="104"/>
      <c r="E64" s="104"/>
      <c r="F64" s="348"/>
      <c r="G64" s="182"/>
      <c r="H64" s="348"/>
      <c r="I64" s="182"/>
    </row>
    <row r="65" spans="1:9" ht="17.399999999999999" customHeight="1">
      <c r="A65" s="334"/>
      <c r="B65" s="182"/>
      <c r="C65" s="104"/>
      <c r="D65" s="104"/>
      <c r="E65" s="104"/>
      <c r="F65" s="348"/>
      <c r="G65" s="182"/>
      <c r="H65" s="348"/>
      <c r="I65" s="182"/>
    </row>
    <row r="66" spans="1:9" ht="17.399999999999999" customHeight="1">
      <c r="A66" s="334"/>
      <c r="B66" s="182"/>
      <c r="C66" s="104"/>
      <c r="D66" s="104"/>
      <c r="E66" s="104"/>
      <c r="F66" s="348"/>
      <c r="G66" s="182"/>
      <c r="H66" s="348"/>
      <c r="I66" s="182"/>
    </row>
  </sheetData>
  <mergeCells count="87">
    <mergeCell ref="F66:G66"/>
    <mergeCell ref="A17:B17"/>
    <mergeCell ref="A48:I48"/>
    <mergeCell ref="H65:I65"/>
    <mergeCell ref="H62:I62"/>
    <mergeCell ref="A19:B19"/>
    <mergeCell ref="D24:I24"/>
    <mergeCell ref="A32:I32"/>
    <mergeCell ref="A30:B30"/>
    <mergeCell ref="F61:G61"/>
    <mergeCell ref="A45:B45"/>
    <mergeCell ref="C28:I28"/>
    <mergeCell ref="A66:B66"/>
    <mergeCell ref="C30:I30"/>
    <mergeCell ref="F18:I18"/>
    <mergeCell ref="H66:I66"/>
    <mergeCell ref="F65:G65"/>
    <mergeCell ref="A35:B35"/>
    <mergeCell ref="A37:B37"/>
    <mergeCell ref="A3:I3"/>
    <mergeCell ref="A8:B9"/>
    <mergeCell ref="A61:B61"/>
    <mergeCell ref="A11:C11"/>
    <mergeCell ref="A10:C10"/>
    <mergeCell ref="A12:C12"/>
    <mergeCell ref="E10:H10"/>
    <mergeCell ref="A6:C6"/>
    <mergeCell ref="A38:B38"/>
    <mergeCell ref="A47:B47"/>
    <mergeCell ref="E11:I11"/>
    <mergeCell ref="H61:I61"/>
    <mergeCell ref="A23:C23"/>
    <mergeCell ref="A60:I60"/>
    <mergeCell ref="H63:I63"/>
    <mergeCell ref="A40:B40"/>
    <mergeCell ref="A59:B59"/>
    <mergeCell ref="A1:I1"/>
    <mergeCell ref="A15:I15"/>
    <mergeCell ref="A21:C21"/>
    <mergeCell ref="E13:I14"/>
    <mergeCell ref="A58:B58"/>
    <mergeCell ref="A33:B33"/>
    <mergeCell ref="E12:I12"/>
    <mergeCell ref="A25:I25"/>
    <mergeCell ref="F19:I19"/>
    <mergeCell ref="A39:B39"/>
    <mergeCell ref="A44:B44"/>
    <mergeCell ref="A41:B41"/>
    <mergeCell ref="A2:I2"/>
    <mergeCell ref="E4:I4"/>
    <mergeCell ref="A24:C24"/>
    <mergeCell ref="A42:B42"/>
    <mergeCell ref="F17:I17"/>
    <mergeCell ref="A28:B28"/>
    <mergeCell ref="A20:I20"/>
    <mergeCell ref="A34:B34"/>
    <mergeCell ref="F16:I16"/>
    <mergeCell ref="A18:B18"/>
    <mergeCell ref="D21:I21"/>
    <mergeCell ref="D23:I23"/>
    <mergeCell ref="A7:C7"/>
    <mergeCell ref="A29:B29"/>
    <mergeCell ref="D22:I22"/>
    <mergeCell ref="A13:C13"/>
    <mergeCell ref="A65:B65"/>
    <mergeCell ref="A22:C22"/>
    <mergeCell ref="C29:I29"/>
    <mergeCell ref="A43:B43"/>
    <mergeCell ref="A27:I27"/>
    <mergeCell ref="F64:G64"/>
    <mergeCell ref="A46:B46"/>
    <mergeCell ref="H64:I64"/>
    <mergeCell ref="A62:B62"/>
    <mergeCell ref="F63:G63"/>
    <mergeCell ref="A55:A57"/>
    <mergeCell ref="F62:G62"/>
    <mergeCell ref="A64:B64"/>
    <mergeCell ref="A31:I31"/>
    <mergeCell ref="A36:B36"/>
    <mergeCell ref="A63:B63"/>
    <mergeCell ref="H5:I5"/>
    <mergeCell ref="A4:C5"/>
    <mergeCell ref="D4:D5"/>
    <mergeCell ref="A16:B16"/>
    <mergeCell ref="A49:A54"/>
    <mergeCell ref="A26:I26"/>
    <mergeCell ref="A14:C14"/>
  </mergeCells>
  <phoneticPr fontId="39" type="noConversion"/>
  <conditionalFormatting sqref="H59">
    <cfRule type="expression" dxfId="0" priority="2">
      <formula>AND(H59&lt;&gt;0,H59&lt;&gt;"")</formula>
    </cfRule>
  </conditionalFormatting>
  <dataValidations count="2">
    <dataValidation type="list" allowBlank="1" showInputMessage="1" showErrorMessage="1" sqref="C17:C19" xr:uid="{00000000-0002-0000-0900-000000000000}">
      <formula1>"Supporting group,Opposing group,Neutral group "</formula1>
      <formula2>0</formula2>
    </dataValidation>
    <dataValidation type="list" allowBlank="1" showInputMessage="1" showErrorMessage="1" sqref="C33:E33" xr:uid="{00000000-0002-0000-0900-000001000000}">
      <formula1>Core_Alliance</formula1>
      <formula2>0</formula2>
    </dataValidation>
  </dataValidations>
  <pageMargins left="0.7" right="0.7" top="0.75" bottom="0.75" header="0.511811023622047" footer="0.511811023622047"/>
  <pageSetup paperSize="9" scale="37"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L104"/>
  <sheetViews>
    <sheetView view="pageBreakPreview" zoomScale="70" zoomScaleNormal="70" zoomScaleSheetLayoutView="70" workbookViewId="0">
      <selection activeCell="S32" sqref="S32"/>
    </sheetView>
  </sheetViews>
  <sheetFormatPr defaultColWidth="8.5" defaultRowHeight="17.399999999999999"/>
  <cols>
    <col min="1" max="1" width="13.296875" style="109" customWidth="1"/>
    <col min="2" max="2" width="10" style="109" customWidth="1"/>
    <col min="3" max="3" width="6.69921875" style="110" customWidth="1"/>
    <col min="4" max="4" width="30" style="110" customWidth="1"/>
    <col min="5" max="5" width="30" style="109" customWidth="1"/>
    <col min="6" max="6" width="33.296875" style="109" customWidth="1"/>
    <col min="7" max="8" width="10" style="109" customWidth="1"/>
    <col min="9" max="12" width="8.296875" style="109" customWidth="1"/>
    <col min="13" max="13" width="10.796875" style="111" customWidth="1"/>
    <col min="14" max="14" width="25" style="109" customWidth="1"/>
    <col min="15" max="18" width="8.296875" style="109" customWidth="1"/>
    <col min="19" max="19" width="10.796875" style="109" customWidth="1"/>
    <col min="20" max="20" width="25" style="109" customWidth="1"/>
    <col min="21" max="24" width="8.296875" style="109" customWidth="1"/>
    <col min="25" max="25" width="10.796875" style="109" customWidth="1"/>
    <col min="26" max="26" width="25" style="109" customWidth="1"/>
    <col min="27" max="30" width="8.296875" style="109" customWidth="1"/>
    <col min="31" max="31" width="10.796875" style="109" customWidth="1"/>
    <col min="32" max="32" width="25" style="109" customWidth="1"/>
    <col min="33" max="36" width="8.296875" style="109" customWidth="1"/>
    <col min="37" max="37" width="10.796875" style="109" customWidth="1"/>
    <col min="38" max="38" width="25" style="109" customWidth="1"/>
  </cols>
  <sheetData>
    <row r="1" spans="1:38" ht="19.5" customHeight="1">
      <c r="A1" s="363" t="s">
        <v>373</v>
      </c>
      <c r="B1" s="306"/>
      <c r="C1" s="364"/>
      <c r="D1" s="364"/>
      <c r="E1" s="306"/>
      <c r="F1" s="306"/>
      <c r="G1" s="306"/>
      <c r="H1" s="306"/>
      <c r="I1" s="306"/>
      <c r="J1" s="306"/>
      <c r="K1" s="306"/>
      <c r="L1" s="306"/>
      <c r="M1" s="365"/>
      <c r="N1" s="306"/>
      <c r="O1" s="306"/>
      <c r="P1" s="306"/>
      <c r="Q1" s="306"/>
      <c r="R1" s="306"/>
      <c r="S1" s="306"/>
      <c r="T1" s="306"/>
      <c r="U1" s="306"/>
      <c r="V1" s="306"/>
      <c r="W1" s="306"/>
      <c r="X1" s="306"/>
      <c r="Y1" s="306"/>
      <c r="Z1" s="306"/>
      <c r="AA1" s="306"/>
      <c r="AB1" s="306"/>
      <c r="AC1" s="306"/>
      <c r="AD1" s="306"/>
      <c r="AE1" s="306"/>
      <c r="AF1" s="306"/>
      <c r="AG1" s="306"/>
      <c r="AH1" s="306"/>
      <c r="AI1" s="306"/>
      <c r="AJ1" s="306"/>
      <c r="AK1" s="306"/>
      <c r="AL1" s="306"/>
    </row>
    <row r="3" spans="1:38" ht="24.75" customHeight="1">
      <c r="A3" s="362" t="s">
        <v>374</v>
      </c>
      <c r="B3" s="362" t="s">
        <v>375</v>
      </c>
      <c r="C3" s="367" t="s">
        <v>376</v>
      </c>
      <c r="D3" s="366" t="s">
        <v>117</v>
      </c>
      <c r="E3" s="368" t="s">
        <v>118</v>
      </c>
      <c r="F3" s="362" t="s">
        <v>377</v>
      </c>
      <c r="G3" s="362" t="s">
        <v>121</v>
      </c>
      <c r="H3" s="362" t="s">
        <v>122</v>
      </c>
      <c r="I3" s="362" t="s">
        <v>190</v>
      </c>
      <c r="J3" s="178"/>
      <c r="K3" s="178"/>
      <c r="L3" s="178"/>
      <c r="M3" s="178"/>
      <c r="N3" s="179"/>
      <c r="O3" s="362" t="s">
        <v>191</v>
      </c>
      <c r="P3" s="178"/>
      <c r="Q3" s="178"/>
      <c r="R3" s="178"/>
      <c r="S3" s="178"/>
      <c r="T3" s="179"/>
      <c r="U3" s="362" t="s">
        <v>192</v>
      </c>
      <c r="V3" s="178"/>
      <c r="W3" s="178"/>
      <c r="X3" s="178"/>
      <c r="Y3" s="178"/>
      <c r="Z3" s="179"/>
      <c r="AA3" s="362" t="s">
        <v>193</v>
      </c>
      <c r="AB3" s="178"/>
      <c r="AC3" s="178"/>
      <c r="AD3" s="178"/>
      <c r="AE3" s="178"/>
      <c r="AF3" s="179"/>
      <c r="AG3" s="362" t="s">
        <v>194</v>
      </c>
      <c r="AH3" s="178"/>
      <c r="AI3" s="178"/>
      <c r="AJ3" s="178"/>
      <c r="AK3" s="178"/>
      <c r="AL3" s="179"/>
    </row>
    <row r="4" spans="1:38" ht="27" customHeight="1">
      <c r="A4" s="194"/>
      <c r="B4" s="194"/>
      <c r="C4" s="210"/>
      <c r="D4" s="194"/>
      <c r="E4" s="212"/>
      <c r="F4" s="194"/>
      <c r="G4" s="194"/>
      <c r="H4" s="194"/>
      <c r="I4" s="37" t="s">
        <v>378</v>
      </c>
      <c r="J4" s="37" t="s">
        <v>379</v>
      </c>
      <c r="K4" s="37" t="s">
        <v>380</v>
      </c>
      <c r="L4" s="37" t="s">
        <v>381</v>
      </c>
      <c r="M4" s="38" t="s">
        <v>382</v>
      </c>
      <c r="N4" s="37" t="s">
        <v>383</v>
      </c>
      <c r="O4" s="37" t="s">
        <v>378</v>
      </c>
      <c r="P4" s="37" t="s">
        <v>379</v>
      </c>
      <c r="Q4" s="37" t="s">
        <v>380</v>
      </c>
      <c r="R4" s="37" t="s">
        <v>381</v>
      </c>
      <c r="S4" s="37" t="s">
        <v>382</v>
      </c>
      <c r="T4" s="37" t="s">
        <v>383</v>
      </c>
      <c r="U4" s="37" t="s">
        <v>378</v>
      </c>
      <c r="V4" s="37" t="s">
        <v>379</v>
      </c>
      <c r="W4" s="37" t="s">
        <v>380</v>
      </c>
      <c r="X4" s="37" t="s">
        <v>381</v>
      </c>
      <c r="Y4" s="37" t="s">
        <v>382</v>
      </c>
      <c r="Z4" s="37" t="s">
        <v>383</v>
      </c>
      <c r="AA4" s="37" t="s">
        <v>378</v>
      </c>
      <c r="AB4" s="37" t="s">
        <v>379</v>
      </c>
      <c r="AC4" s="37" t="s">
        <v>380</v>
      </c>
      <c r="AD4" s="37" t="s">
        <v>381</v>
      </c>
      <c r="AE4" s="37" t="s">
        <v>382</v>
      </c>
      <c r="AF4" s="37" t="s">
        <v>383</v>
      </c>
      <c r="AG4" s="37" t="s">
        <v>378</v>
      </c>
      <c r="AH4" s="37" t="s">
        <v>379</v>
      </c>
      <c r="AI4" s="37" t="s">
        <v>380</v>
      </c>
      <c r="AJ4" s="37" t="s">
        <v>381</v>
      </c>
      <c r="AK4" s="37" t="s">
        <v>382</v>
      </c>
      <c r="AL4" s="37" t="s">
        <v>383</v>
      </c>
    </row>
    <row r="5" spans="1:38" ht="17.25" customHeight="1">
      <c r="A5" s="360" t="s">
        <v>280</v>
      </c>
      <c r="B5" s="361" t="s">
        <v>125</v>
      </c>
      <c r="C5" s="112" t="str">
        <f>IFERROR(IF(INDEX(ITT_ChildProtection_OC_A,MATCH("1",ITT_ChildProtection_OC_A,0))="","",INDEX(ITT_ChildProtection_OC_A,MATCH("1",ITT_ChildProtection_OC_A,0))),"")</f>
        <v>1</v>
      </c>
      <c r="D5" s="59" t="str">
        <f>IFERROR(IF(INDEX(ITT_ChildProtection_OC_B,MATCH("1",ITT_ChildProtection_OC_A,0))="","",INDEX(ITT_ChildProtection_OC_B,MATCH("1",ITT_ChildProtection_OC_A,0))),"")</f>
        <v/>
      </c>
      <c r="E5" s="40" t="str">
        <f>IFERROR(IF(INDEX(ITT_ChildProtection_OC_E,MATCH("1",ITT_ChildProtection_OC_A,0))="","",INDEX(ITT_ChildProtection_OC_E,MATCH("1",ITT_ChildProtection_OC_A,0))),"")</f>
        <v/>
      </c>
      <c r="F5" s="40" t="str">
        <f>IFERROR(IF(INDEX(ITT_ChildProtection_OC_G,MATCH("1",ITT_ChildProtection_OC_A,0))="","",INDEX(ITT_ChildProtection_OC_G,MATCH("1",ITT_ChildProtection_OC_A,0))),"")</f>
        <v/>
      </c>
      <c r="G5" s="112" t="str">
        <f>IFERROR(IF(INDEX(ITT_ChildProtection_OC_J,MATCH("1",ITT_ChildProtection_OC_A,0))="","",INDEX(ITT_ChildProtection_OC_J,MATCH("1",ITT_ChildProtection_OC_A,0))),"")</f>
        <v/>
      </c>
      <c r="H5" s="112" t="str">
        <f>IFERROR(IF(INDEX(ITT_ChildProtection_OC_K,MATCH("1",ITT_ChildProtection_OC_A,0))="","",INDEX(ITT_ChildProtection_OC_K,MATCH("1",ITT_ChildProtection_OC_A,0))),"")</f>
        <v/>
      </c>
      <c r="I5" s="40"/>
      <c r="J5" s="40"/>
      <c r="K5" s="40"/>
      <c r="L5" s="40"/>
      <c r="M5" s="41" t="str">
        <f t="shared" ref="M5:M36" si="0">IF(OR(L5="",$G5="",$H5=""),"",IF($H5-$G5=0,"",(L5-$G5)/($H5-$G5)))</f>
        <v/>
      </c>
      <c r="N5" s="40"/>
      <c r="O5" s="40"/>
      <c r="P5" s="40"/>
      <c r="Q5" s="40"/>
      <c r="R5" s="40"/>
      <c r="S5" s="157" t="str">
        <f t="shared" ref="S5:S36" si="1">IF(OR(R5="",$G5="",$H5=""),"",IF($H5-$G5=0,"",(R5-$G5)/($H5-$G5)))</f>
        <v/>
      </c>
      <c r="T5" s="40"/>
      <c r="U5" s="40"/>
      <c r="V5" s="40"/>
      <c r="W5" s="40"/>
      <c r="X5" s="40"/>
      <c r="Y5" s="157" t="str">
        <f t="shared" ref="Y5:Y36" si="2">IF(OR(X5="",$G5="",$H5=""),"",IF($H5-$G5=0,"",(X5-$G5)/($H5-$G5)))</f>
        <v/>
      </c>
      <c r="Z5" s="40"/>
      <c r="AA5" s="40"/>
      <c r="AB5" s="40"/>
      <c r="AC5" s="40"/>
      <c r="AD5" s="40"/>
      <c r="AE5" s="157" t="str">
        <f t="shared" ref="AE5:AE36" si="3">IF(OR(AD5="",$G5="",$H5=""),"",IF($H5-$G5=0,"",(AD5-$G5)/($H5-$G5)))</f>
        <v/>
      </c>
      <c r="AF5" s="40"/>
      <c r="AG5" s="40"/>
      <c r="AH5" s="40"/>
      <c r="AI5" s="40"/>
      <c r="AJ5" s="40"/>
      <c r="AK5" s="157" t="str">
        <f t="shared" ref="AK5:AK36" si="4">IF(OR(AJ5="",$G5="",$H5=""),"",IF($H5-$G5=0,"",(AJ5-$G5)/($H5-$G5)))</f>
        <v/>
      </c>
      <c r="AL5" s="40"/>
    </row>
    <row r="6" spans="1:38">
      <c r="A6" s="190"/>
      <c r="B6" s="190"/>
      <c r="C6" s="112" t="str">
        <f>IFERROR(IF(INDEX(ITT_ChildProtection_OC_A,MATCH("2",ITT_ChildProtection_OC_A,0))="","",INDEX(ITT_ChildProtection_OC_A,MATCH("2",ITT_ChildProtection_OC_A,0))),"")</f>
        <v>2</v>
      </c>
      <c r="D6" s="59" t="str">
        <f>IFERROR(IF(INDEX(ITT_ChildProtection_OC_B,MATCH("2",ITT_ChildProtection_OC_A,0))="","",INDEX(ITT_ChildProtection_OC_B,MATCH("2",ITT_ChildProtection_OC_A,0))),"")</f>
        <v/>
      </c>
      <c r="E6" s="40" t="str">
        <f>IFERROR(IF(INDEX(ITT_ChildProtection_OC_E,MATCH("2",ITT_ChildProtection_OC_A,0))="","",INDEX(ITT_ChildProtection_OC_E,MATCH("2",ITT_ChildProtection_OC_A,0))),"")</f>
        <v/>
      </c>
      <c r="F6" s="40" t="str">
        <f>IFERROR(IF(INDEX(ITT_ChildProtection_OC_G,MATCH("2",ITT_ChildProtection_OC_A,0))="","",INDEX(ITT_ChildProtection_OC_G,MATCH("2",ITT_ChildProtection_OC_A,0))),"")</f>
        <v/>
      </c>
      <c r="G6" s="112" t="str">
        <f>IFERROR(IF(INDEX(ITT_ChildProtection_OC_J,MATCH("2",ITT_ChildProtection_OC_A,0))="","",INDEX(ITT_ChildProtection_OC_J,MATCH("2",ITT_ChildProtection_OC_A,0))),"")</f>
        <v/>
      </c>
      <c r="H6" s="112" t="str">
        <f>IFERROR(IF(INDEX(ITT_ChildProtection_OC_K,MATCH("2",ITT_ChildProtection_OC_A,0))="","",INDEX(ITT_ChildProtection_OC_K,MATCH("2",ITT_ChildProtection_OC_A,0))),"")</f>
        <v/>
      </c>
      <c r="I6" s="40"/>
      <c r="J6" s="40"/>
      <c r="K6" s="40"/>
      <c r="L6" s="40"/>
      <c r="M6" s="41" t="str">
        <f t="shared" si="0"/>
        <v/>
      </c>
      <c r="N6" s="40"/>
      <c r="O6" s="40"/>
      <c r="P6" s="40"/>
      <c r="Q6" s="40"/>
      <c r="R6" s="40"/>
      <c r="S6" s="157" t="str">
        <f t="shared" si="1"/>
        <v/>
      </c>
      <c r="T6" s="40"/>
      <c r="U6" s="40"/>
      <c r="V6" s="40"/>
      <c r="W6" s="40"/>
      <c r="X6" s="40"/>
      <c r="Y6" s="157" t="str">
        <f t="shared" si="2"/>
        <v/>
      </c>
      <c r="Z6" s="40"/>
      <c r="AA6" s="40"/>
      <c r="AB6" s="40"/>
      <c r="AC6" s="40"/>
      <c r="AD6" s="40"/>
      <c r="AE6" s="157" t="str">
        <f t="shared" si="3"/>
        <v/>
      </c>
      <c r="AF6" s="40"/>
      <c r="AG6" s="40"/>
      <c r="AH6" s="40"/>
      <c r="AI6" s="40"/>
      <c r="AJ6" s="40"/>
      <c r="AK6" s="157" t="str">
        <f t="shared" si="4"/>
        <v/>
      </c>
      <c r="AL6" s="40"/>
    </row>
    <row r="7" spans="1:38">
      <c r="A7" s="190"/>
      <c r="B7" s="190"/>
      <c r="C7" s="112" t="str">
        <f>IFERROR(IF(INDEX(ITT_ChildProtection_OC_A,MATCH("3",ITT_ChildProtection_OC_A,0))="","",INDEX(ITT_ChildProtection_OC_A,MATCH("3",ITT_ChildProtection_OC_A,0))),"")</f>
        <v>3</v>
      </c>
      <c r="D7" s="59" t="str">
        <f>IFERROR(IF(INDEX(ITT_ChildProtection_OC_B,MATCH("3",ITT_ChildProtection_OC_A,0))="","",INDEX(ITT_ChildProtection_OC_B,MATCH("3",ITT_ChildProtection_OC_A,0))),"")</f>
        <v/>
      </c>
      <c r="E7" s="40" t="str">
        <f>IFERROR(IF(INDEX(ITT_ChildProtection_OC_E,MATCH("3",ITT_ChildProtection_OC_A,0))="","",INDEX(ITT_ChildProtection_OC_E,MATCH("3",ITT_ChildProtection_OC_A,0))),"")</f>
        <v/>
      </c>
      <c r="F7" s="40" t="str">
        <f>IFERROR(IF(INDEX(ITT_ChildProtection_OC_G,MATCH("3",ITT_ChildProtection_OC_A,0))="","",INDEX(ITT_ChildProtection_OC_G,MATCH("3",ITT_ChildProtection_OC_A,0))),"")</f>
        <v/>
      </c>
      <c r="G7" s="112" t="str">
        <f>IFERROR(IF(INDEX(ITT_ChildProtection_OC_J,MATCH("3",ITT_ChildProtection_OC_A,0))="","",INDEX(ITT_ChildProtection_OC_J,MATCH("3",ITT_ChildProtection_OC_A,0))),"")</f>
        <v/>
      </c>
      <c r="H7" s="112" t="str">
        <f>IFERROR(IF(INDEX(ITT_ChildProtection_OC_K,MATCH("3",ITT_ChildProtection_OC_A,0))="","",INDEX(ITT_ChildProtection_OC_K,MATCH("3",ITT_ChildProtection_OC_A,0))),"")</f>
        <v/>
      </c>
      <c r="I7" s="40"/>
      <c r="J7" s="40"/>
      <c r="K7" s="40"/>
      <c r="L7" s="40"/>
      <c r="M7" s="41" t="str">
        <f t="shared" si="0"/>
        <v/>
      </c>
      <c r="N7" s="40"/>
      <c r="O7" s="40"/>
      <c r="P7" s="40"/>
      <c r="Q7" s="40"/>
      <c r="R7" s="40"/>
      <c r="S7" s="157" t="str">
        <f t="shared" si="1"/>
        <v/>
      </c>
      <c r="T7" s="40"/>
      <c r="U7" s="40"/>
      <c r="V7" s="40"/>
      <c r="W7" s="40"/>
      <c r="X7" s="40"/>
      <c r="Y7" s="157" t="str">
        <f t="shared" si="2"/>
        <v/>
      </c>
      <c r="Z7" s="40"/>
      <c r="AA7" s="40"/>
      <c r="AB7" s="40"/>
      <c r="AC7" s="40"/>
      <c r="AD7" s="40"/>
      <c r="AE7" s="157" t="str">
        <f t="shared" si="3"/>
        <v/>
      </c>
      <c r="AF7" s="40"/>
      <c r="AG7" s="40"/>
      <c r="AH7" s="40"/>
      <c r="AI7" s="40"/>
      <c r="AJ7" s="40"/>
      <c r="AK7" s="157" t="str">
        <f t="shared" si="4"/>
        <v/>
      </c>
      <c r="AL7" s="40"/>
    </row>
    <row r="8" spans="1:38">
      <c r="A8" s="190"/>
      <c r="B8" s="190"/>
      <c r="C8" s="112" t="str">
        <f>IFERROR(IF(INDEX(ITT_ChildProtection_OC_A,MATCH("4",ITT_ChildProtection_OC_A,0))="","",INDEX(ITT_ChildProtection_OC_A,MATCH("4",ITT_ChildProtection_OC_A,0))),"")</f>
        <v>4</v>
      </c>
      <c r="D8" s="59" t="str">
        <f>IFERROR(IF(INDEX(ITT_ChildProtection_OC_B,MATCH("4",ITT_ChildProtection_OC_A,0))="","",INDEX(ITT_ChildProtection_OC_B,MATCH("4",ITT_ChildProtection_OC_A,0))),"")</f>
        <v/>
      </c>
      <c r="E8" s="40" t="str">
        <f>IFERROR(IF(INDEX(ITT_ChildProtection_OC_E,MATCH("4",ITT_ChildProtection_OC_A,0))="","",INDEX(ITT_ChildProtection_OC_E,MATCH("4",ITT_ChildProtection_OC_A,0))),"")</f>
        <v/>
      </c>
      <c r="F8" s="40" t="str">
        <f>IFERROR(IF(INDEX(ITT_ChildProtection_OC_G,MATCH("4",ITT_ChildProtection_OC_A,0))="","",INDEX(ITT_ChildProtection_OC_G,MATCH("4",ITT_ChildProtection_OC_A,0))),"")</f>
        <v/>
      </c>
      <c r="G8" s="112" t="str">
        <f>IFERROR(IF(INDEX(ITT_ChildProtection_OC_J,MATCH("4",ITT_ChildProtection_OC_A,0))="","",INDEX(ITT_ChildProtection_OC_J,MATCH("4",ITT_ChildProtection_OC_A,0))),"")</f>
        <v/>
      </c>
      <c r="H8" s="112" t="str">
        <f>IFERROR(IF(INDEX(ITT_ChildProtection_OC_K,MATCH("4",ITT_ChildProtection_OC_A,0))="","",INDEX(ITT_ChildProtection_OC_K,MATCH("4",ITT_ChildProtection_OC_A,0))),"")</f>
        <v/>
      </c>
      <c r="I8" s="40"/>
      <c r="J8" s="40"/>
      <c r="K8" s="40"/>
      <c r="L8" s="40"/>
      <c r="M8" s="41" t="str">
        <f t="shared" si="0"/>
        <v/>
      </c>
      <c r="N8" s="40"/>
      <c r="O8" s="40"/>
      <c r="P8" s="40"/>
      <c r="Q8" s="40"/>
      <c r="R8" s="40"/>
      <c r="S8" s="157" t="str">
        <f t="shared" si="1"/>
        <v/>
      </c>
      <c r="T8" s="40"/>
      <c r="U8" s="40"/>
      <c r="V8" s="40"/>
      <c r="W8" s="40"/>
      <c r="X8" s="40"/>
      <c r="Y8" s="157" t="str">
        <f t="shared" si="2"/>
        <v/>
      </c>
      <c r="Z8" s="40"/>
      <c r="AA8" s="40"/>
      <c r="AB8" s="40"/>
      <c r="AC8" s="40"/>
      <c r="AD8" s="40"/>
      <c r="AE8" s="157" t="str">
        <f t="shared" si="3"/>
        <v/>
      </c>
      <c r="AF8" s="40"/>
      <c r="AG8" s="40"/>
      <c r="AH8" s="40"/>
      <c r="AI8" s="40"/>
      <c r="AJ8" s="40"/>
      <c r="AK8" s="157" t="str">
        <f t="shared" si="4"/>
        <v/>
      </c>
      <c r="AL8" s="40"/>
    </row>
    <row r="9" spans="1:38">
      <c r="A9" s="190"/>
      <c r="B9" s="194"/>
      <c r="C9" s="112" t="str">
        <f>IFERROR(IF(INDEX(ITT_ChildProtection_OC_A,MATCH("5",ITT_ChildProtection_OC_A,0))="","",INDEX(ITT_ChildProtection_OC_A,MATCH("5",ITT_ChildProtection_OC_A,0))),"")</f>
        <v>5</v>
      </c>
      <c r="D9" s="59" t="str">
        <f>IFERROR(IF(INDEX(ITT_ChildProtection_OC_B,MATCH("5",ITT_ChildProtection_OC_A,0))="","",INDEX(ITT_ChildProtection_OC_B,MATCH("5",ITT_ChildProtection_OC_A,0))),"")</f>
        <v/>
      </c>
      <c r="E9" s="40" t="str">
        <f>IFERROR(IF(INDEX(ITT_ChildProtection_OC_E,MATCH("5",ITT_ChildProtection_OC_A,0))="","",INDEX(ITT_ChildProtection_OC_E,MATCH("5",ITT_ChildProtection_OC_A,0))),"")</f>
        <v/>
      </c>
      <c r="F9" s="40" t="str">
        <f>IFERROR(IF(INDEX(ITT_ChildProtection_OC_G,MATCH("5",ITT_ChildProtection_OC_A,0))="","",INDEX(ITT_ChildProtection_OC_G,MATCH("5",ITT_ChildProtection_OC_A,0))),"")</f>
        <v/>
      </c>
      <c r="G9" s="112" t="str">
        <f>IFERROR(IF(INDEX(ITT_ChildProtection_OC_J,MATCH("5",ITT_ChildProtection_OC_A,0))="","",INDEX(ITT_ChildProtection_OC_J,MATCH("5",ITT_ChildProtection_OC_A,0))),"")</f>
        <v/>
      </c>
      <c r="H9" s="112" t="str">
        <f>IFERROR(IF(INDEX(ITT_ChildProtection_OC_K,MATCH("5",ITT_ChildProtection_OC_A,0))="","",INDEX(ITT_ChildProtection_OC_K,MATCH("5",ITT_ChildProtection_OC_A,0))),"")</f>
        <v/>
      </c>
      <c r="I9" s="40"/>
      <c r="J9" s="40"/>
      <c r="K9" s="40"/>
      <c r="L9" s="40"/>
      <c r="M9" s="41" t="str">
        <f t="shared" si="0"/>
        <v/>
      </c>
      <c r="N9" s="40"/>
      <c r="O9" s="40"/>
      <c r="P9" s="40"/>
      <c r="Q9" s="40"/>
      <c r="R9" s="40"/>
      <c r="S9" s="157" t="str">
        <f t="shared" si="1"/>
        <v/>
      </c>
      <c r="T9" s="40"/>
      <c r="U9" s="40"/>
      <c r="V9" s="40"/>
      <c r="W9" s="40"/>
      <c r="X9" s="40"/>
      <c r="Y9" s="157" t="str">
        <f t="shared" si="2"/>
        <v/>
      </c>
      <c r="Z9" s="40"/>
      <c r="AA9" s="40"/>
      <c r="AB9" s="40"/>
      <c r="AC9" s="40"/>
      <c r="AD9" s="40"/>
      <c r="AE9" s="157" t="str">
        <f t="shared" si="3"/>
        <v/>
      </c>
      <c r="AF9" s="40"/>
      <c r="AG9" s="40"/>
      <c r="AH9" s="40"/>
      <c r="AI9" s="40"/>
      <c r="AJ9" s="40"/>
      <c r="AK9" s="157" t="str">
        <f t="shared" si="4"/>
        <v/>
      </c>
      <c r="AL9" s="40"/>
    </row>
    <row r="10" spans="1:38" ht="17.25" customHeight="1">
      <c r="A10" s="190"/>
      <c r="B10" s="361" t="s">
        <v>131</v>
      </c>
      <c r="C10" s="112" t="str">
        <f>IFERROR(IF(INDEX(ITT_ChildProtection_OP_A,MATCH("1.1",ITT_ChildProtection_OP_A,0))="","",INDEX(ITT_ChildProtection_OP_A,MATCH("1.1",ITT_ChildProtection_OP_A,0))),"")</f>
        <v>1.1</v>
      </c>
      <c r="D10" s="59" t="str">
        <f>IFERROR(IF(INDEX(ITT_ChildProtection_OP_B,MATCH("1.1",ITT_ChildProtection_OP_A,0))="","",INDEX(ITT_ChildProtection_OP_B,MATCH("1.1",ITT_ChildProtection_OP_A,0))),"")</f>
        <v/>
      </c>
      <c r="E10" s="40" t="str">
        <f>IFERROR(IF(INDEX(ITT_ChildProtection_OP_E,MATCH("1.1",ITT_ChildProtection_OP_A,0))="","",INDEX(ITT_ChildProtection_OP_E,MATCH("1.1",ITT_ChildProtection_OP_A,0))),"")</f>
        <v/>
      </c>
      <c r="F10" s="40" t="str">
        <f>IFERROR(IF(INDEX(ITT_ChildProtection_OP_G,MATCH("1.1",ITT_ChildProtection_OP_A,0))="","",INDEX(ITT_ChildProtection_OP_G,MATCH("1.1",ITT_ChildProtection_OP_A,0))),"")</f>
        <v/>
      </c>
      <c r="G10" s="112" t="str">
        <f>IFERROR(IF(INDEX(ITT_ChildProtection_OP_J,MATCH("1.1",ITT_ChildProtection_OP_A,0))="","",INDEX(ITT_ChildProtection_OP_J,MATCH("1.1",ITT_ChildProtection_OP_A,0))),"")</f>
        <v/>
      </c>
      <c r="H10" s="112" t="str">
        <f>IFERROR(IF(INDEX(ITT_ChildProtection_OP_K,MATCH("1.1",ITT_ChildProtection_OP_A,0))="","",INDEX(ITT_ChildProtection_OP_K,MATCH("1.1",ITT_ChildProtection_OP_A,0))),"")</f>
        <v/>
      </c>
      <c r="I10" s="40"/>
      <c r="J10" s="40"/>
      <c r="K10" s="40"/>
      <c r="L10" s="40"/>
      <c r="M10" s="41" t="str">
        <f t="shared" si="0"/>
        <v/>
      </c>
      <c r="N10" s="40"/>
      <c r="O10" s="40"/>
      <c r="P10" s="40"/>
      <c r="Q10" s="40"/>
      <c r="R10" s="40"/>
      <c r="S10" s="157" t="str">
        <f t="shared" si="1"/>
        <v/>
      </c>
      <c r="T10" s="40"/>
      <c r="U10" s="40"/>
      <c r="V10" s="40"/>
      <c r="W10" s="40"/>
      <c r="X10" s="40"/>
      <c r="Y10" s="157" t="str">
        <f t="shared" si="2"/>
        <v/>
      </c>
      <c r="Z10" s="40"/>
      <c r="AA10" s="40"/>
      <c r="AB10" s="40"/>
      <c r="AC10" s="40"/>
      <c r="AD10" s="40"/>
      <c r="AE10" s="157" t="str">
        <f t="shared" si="3"/>
        <v/>
      </c>
      <c r="AF10" s="40"/>
      <c r="AG10" s="40"/>
      <c r="AH10" s="40"/>
      <c r="AI10" s="40"/>
      <c r="AJ10" s="40"/>
      <c r="AK10" s="157" t="str">
        <f t="shared" si="4"/>
        <v/>
      </c>
      <c r="AL10" s="40"/>
    </row>
    <row r="11" spans="1:38">
      <c r="A11" s="190"/>
      <c r="B11" s="190"/>
      <c r="C11" s="112" t="str">
        <f>IFERROR(IF(INDEX(ITT_ChildProtection_OP_A,MATCH("1.2",ITT_ChildProtection_OP_A,0))="","",INDEX(ITT_ChildProtection_OP_A,MATCH("1.2",ITT_ChildProtection_OP_A,0))),"")</f>
        <v>1.2</v>
      </c>
      <c r="D11" s="59" t="str">
        <f>IFERROR(IF(INDEX(ITT_ChildProtection_OP_B,MATCH("1.2",ITT_ChildProtection_OP_A,0))="","",INDEX(ITT_ChildProtection_OP_B,MATCH("1.2",ITT_ChildProtection_OP_A,0))),"")</f>
        <v/>
      </c>
      <c r="E11" s="40" t="str">
        <f>IFERROR(IF(INDEX(ITT_ChildProtection_OP_E,MATCH("1.2",ITT_ChildProtection_OP_A,0))="","",INDEX(ITT_ChildProtection_OP_E,MATCH("1.2",ITT_ChildProtection_OP_A,0))),"")</f>
        <v/>
      </c>
      <c r="F11" s="40" t="str">
        <f>IFERROR(IF(INDEX(ITT_ChildProtection_OP_G,MATCH("1.2",ITT_ChildProtection_OP_A,0))="","",INDEX(ITT_ChildProtection_OP_G,MATCH("1.2",ITT_ChildProtection_OP_A,0))),"")</f>
        <v/>
      </c>
      <c r="G11" s="112" t="str">
        <f>IFERROR(IF(INDEX(ITT_ChildProtection_OP_J,MATCH("1.2",ITT_ChildProtection_OP_A,0))="","",INDEX(ITT_ChildProtection_OP_J,MATCH("1.2",ITT_ChildProtection_OP_A,0))),"")</f>
        <v/>
      </c>
      <c r="H11" s="112" t="str">
        <f>IFERROR(IF(INDEX(ITT_ChildProtection_OP_K,MATCH("1.2",ITT_ChildProtection_OP_A,0))="","",INDEX(ITT_ChildProtection_OP_K,MATCH("1.2",ITT_ChildProtection_OP_A,0))),"")</f>
        <v/>
      </c>
      <c r="I11" s="40"/>
      <c r="J11" s="40"/>
      <c r="K11" s="40"/>
      <c r="L11" s="40"/>
      <c r="M11" s="41" t="str">
        <f t="shared" si="0"/>
        <v/>
      </c>
      <c r="N11" s="40"/>
      <c r="O11" s="40"/>
      <c r="P11" s="40"/>
      <c r="Q11" s="40"/>
      <c r="R11" s="40"/>
      <c r="S11" s="157" t="str">
        <f t="shared" si="1"/>
        <v/>
      </c>
      <c r="T11" s="40"/>
      <c r="U11" s="40"/>
      <c r="V11" s="40"/>
      <c r="W11" s="40"/>
      <c r="X11" s="40"/>
      <c r="Y11" s="157" t="str">
        <f t="shared" si="2"/>
        <v/>
      </c>
      <c r="Z11" s="40"/>
      <c r="AA11" s="40"/>
      <c r="AB11" s="40"/>
      <c r="AC11" s="40"/>
      <c r="AD11" s="40"/>
      <c r="AE11" s="157" t="str">
        <f t="shared" si="3"/>
        <v/>
      </c>
      <c r="AF11" s="40"/>
      <c r="AG11" s="40"/>
      <c r="AH11" s="40"/>
      <c r="AI11" s="40"/>
      <c r="AJ11" s="40"/>
      <c r="AK11" s="157" t="str">
        <f t="shared" si="4"/>
        <v/>
      </c>
      <c r="AL11" s="40"/>
    </row>
    <row r="12" spans="1:38">
      <c r="A12" s="190"/>
      <c r="B12" s="190"/>
      <c r="C12" s="112" t="str">
        <f>IFERROR(IF(INDEX(ITT_ChildProtection_OP_A,MATCH("1.3",ITT_ChildProtection_OP_A,0))="","",INDEX(ITT_ChildProtection_OP_A,MATCH("1.3",ITT_ChildProtection_OP_A,0))),"")</f>
        <v>1.3</v>
      </c>
      <c r="D12" s="59" t="str">
        <f>IFERROR(IF(INDEX(ITT_ChildProtection_OP_B,MATCH("1.3",ITT_ChildProtection_OP_A,0))="","",INDEX(ITT_ChildProtection_OP_B,MATCH("1.3",ITT_ChildProtection_OP_A,0))),"")</f>
        <v/>
      </c>
      <c r="E12" s="40" t="str">
        <f>IFERROR(IF(INDEX(ITT_ChildProtection_OP_E,MATCH("1.3",ITT_ChildProtection_OP_A,0))="","",INDEX(ITT_ChildProtection_OP_E,MATCH("1.3",ITT_ChildProtection_OP_A,0))),"")</f>
        <v/>
      </c>
      <c r="F12" s="40" t="str">
        <f>IFERROR(IF(INDEX(ITT_ChildProtection_OP_G,MATCH("1.3",ITT_ChildProtection_OP_A,0))="","",INDEX(ITT_ChildProtection_OP_G,MATCH("1.3",ITT_ChildProtection_OP_A,0))),"")</f>
        <v/>
      </c>
      <c r="G12" s="112" t="str">
        <f>IFERROR(IF(INDEX(ITT_ChildProtection_OP_J,MATCH("1.3",ITT_ChildProtection_OP_A,0))="","",INDEX(ITT_ChildProtection_OP_J,MATCH("1.3",ITT_ChildProtection_OP_A,0))),"")</f>
        <v/>
      </c>
      <c r="H12" s="112" t="str">
        <f>IFERROR(IF(INDEX(ITT_ChildProtection_OP_K,MATCH("1.3",ITT_ChildProtection_OP_A,0))="","",INDEX(ITT_ChildProtection_OP_K,MATCH("1.3",ITT_ChildProtection_OP_A,0))),"")</f>
        <v/>
      </c>
      <c r="I12" s="40"/>
      <c r="J12" s="40"/>
      <c r="K12" s="40"/>
      <c r="L12" s="40"/>
      <c r="M12" s="41" t="str">
        <f t="shared" si="0"/>
        <v/>
      </c>
      <c r="N12" s="40"/>
      <c r="O12" s="40"/>
      <c r="P12" s="40"/>
      <c r="Q12" s="40"/>
      <c r="R12" s="40"/>
      <c r="S12" s="157" t="str">
        <f t="shared" si="1"/>
        <v/>
      </c>
      <c r="T12" s="40"/>
      <c r="U12" s="40"/>
      <c r="V12" s="40"/>
      <c r="W12" s="40"/>
      <c r="X12" s="40"/>
      <c r="Y12" s="157" t="str">
        <f t="shared" si="2"/>
        <v/>
      </c>
      <c r="Z12" s="40"/>
      <c r="AA12" s="40"/>
      <c r="AB12" s="40"/>
      <c r="AC12" s="40"/>
      <c r="AD12" s="40"/>
      <c r="AE12" s="157" t="str">
        <f t="shared" si="3"/>
        <v/>
      </c>
      <c r="AF12" s="40"/>
      <c r="AG12" s="40"/>
      <c r="AH12" s="40"/>
      <c r="AI12" s="40"/>
      <c r="AJ12" s="40"/>
      <c r="AK12" s="157" t="str">
        <f t="shared" si="4"/>
        <v/>
      </c>
      <c r="AL12" s="40"/>
    </row>
    <row r="13" spans="1:38">
      <c r="A13" s="190"/>
      <c r="B13" s="190"/>
      <c r="C13" s="112" t="str">
        <f>IFERROR(IF(INDEX(ITT_ChildProtection_OP_A,MATCH("2.1",ITT_ChildProtection_OP_A,0))="","",INDEX(ITT_ChildProtection_OP_A,MATCH("2.1",ITT_ChildProtection_OP_A,0))),"")</f>
        <v>2.1</v>
      </c>
      <c r="D13" s="59" t="str">
        <f>IFERROR(IF(INDEX(ITT_ChildProtection_OP_B,MATCH("2.1",ITT_ChildProtection_OP_A,0))="","",INDEX(ITT_ChildProtection_OP_B,MATCH("2.1",ITT_ChildProtection_OP_A,0))),"")</f>
        <v/>
      </c>
      <c r="E13" s="40" t="str">
        <f>IFERROR(IF(INDEX(ITT_ChildProtection_OP_E,MATCH("2.1",ITT_ChildProtection_OP_A,0))="","",INDEX(ITT_ChildProtection_OP_E,MATCH("2.1",ITT_ChildProtection_OP_A,0))),"")</f>
        <v/>
      </c>
      <c r="F13" s="40" t="str">
        <f>IFERROR(IF(INDEX(ITT_ChildProtection_OP_G,MATCH("2.1",ITT_ChildProtection_OP_A,0))="","",INDEX(ITT_ChildProtection_OP_G,MATCH("2.1",ITT_ChildProtection_OP_A,0))),"")</f>
        <v/>
      </c>
      <c r="G13" s="112" t="str">
        <f>IFERROR(IF(INDEX(ITT_ChildProtection_OP_J,MATCH("2.1",ITT_ChildProtection_OP_A,0))="","",INDEX(ITT_ChildProtection_OP_J,MATCH("2.1",ITT_ChildProtection_OP_A,0))),"")</f>
        <v/>
      </c>
      <c r="H13" s="112" t="str">
        <f>IFERROR(IF(INDEX(ITT_ChildProtection_OP_K,MATCH("2.1",ITT_ChildProtection_OP_A,0))="","",INDEX(ITT_ChildProtection_OP_K,MATCH("2.1",ITT_ChildProtection_OP_A,0))),"")</f>
        <v/>
      </c>
      <c r="I13" s="40"/>
      <c r="J13" s="40"/>
      <c r="K13" s="40"/>
      <c r="L13" s="40"/>
      <c r="M13" s="41" t="str">
        <f t="shared" si="0"/>
        <v/>
      </c>
      <c r="N13" s="40"/>
      <c r="O13" s="40"/>
      <c r="P13" s="40"/>
      <c r="Q13" s="40"/>
      <c r="R13" s="40"/>
      <c r="S13" s="157" t="str">
        <f t="shared" si="1"/>
        <v/>
      </c>
      <c r="T13" s="40"/>
      <c r="U13" s="40"/>
      <c r="V13" s="40"/>
      <c r="W13" s="40"/>
      <c r="X13" s="40"/>
      <c r="Y13" s="157" t="str">
        <f t="shared" si="2"/>
        <v/>
      </c>
      <c r="Z13" s="40"/>
      <c r="AA13" s="40"/>
      <c r="AB13" s="40"/>
      <c r="AC13" s="40"/>
      <c r="AD13" s="40"/>
      <c r="AE13" s="157" t="str">
        <f t="shared" si="3"/>
        <v/>
      </c>
      <c r="AF13" s="40"/>
      <c r="AG13" s="40"/>
      <c r="AH13" s="40"/>
      <c r="AI13" s="40"/>
      <c r="AJ13" s="40"/>
      <c r="AK13" s="157" t="str">
        <f t="shared" si="4"/>
        <v/>
      </c>
      <c r="AL13" s="40"/>
    </row>
    <row r="14" spans="1:38">
      <c r="A14" s="190"/>
      <c r="B14" s="190"/>
      <c r="C14" s="112" t="str">
        <f>IFERROR(IF(INDEX(ITT_ChildProtection_OP_A,MATCH("2.2",ITT_ChildProtection_OP_A,0))="","",INDEX(ITT_ChildProtection_OP_A,MATCH("2.2",ITT_ChildProtection_OP_A,0))),"")</f>
        <v>2.2</v>
      </c>
      <c r="D14" s="59" t="str">
        <f>IFERROR(IF(INDEX(ITT_ChildProtection_OP_B,MATCH("2.2",ITT_ChildProtection_OP_A,0))="","",INDEX(ITT_ChildProtection_OP_B,MATCH("2.2",ITT_ChildProtection_OP_A,0))),"")</f>
        <v/>
      </c>
      <c r="E14" s="40" t="str">
        <f>IFERROR(IF(INDEX(ITT_ChildProtection_OP_E,MATCH("2.2",ITT_ChildProtection_OP_A,0))="","",INDEX(ITT_ChildProtection_OP_E,MATCH("2.2",ITT_ChildProtection_OP_A,0))),"")</f>
        <v/>
      </c>
      <c r="F14" s="40" t="str">
        <f>IFERROR(IF(INDEX(ITT_ChildProtection_OP_G,MATCH("2.2",ITT_ChildProtection_OP_A,0))="","",INDEX(ITT_ChildProtection_OP_G,MATCH("2.2",ITT_ChildProtection_OP_A,0))),"")</f>
        <v/>
      </c>
      <c r="G14" s="112" t="str">
        <f>IFERROR(IF(INDEX(ITT_ChildProtection_OP_J,MATCH("2.2",ITT_ChildProtection_OP_A,0))="","",INDEX(ITT_ChildProtection_OP_J,MATCH("2.2",ITT_ChildProtection_OP_A,0))),"")</f>
        <v/>
      </c>
      <c r="H14" s="112" t="str">
        <f>IFERROR(IF(INDEX(ITT_ChildProtection_OP_K,MATCH("2.2",ITT_ChildProtection_OP_A,0))="","",INDEX(ITT_ChildProtection_OP_K,MATCH("2.2",ITT_ChildProtection_OP_A,0))),"")</f>
        <v/>
      </c>
      <c r="I14" s="40"/>
      <c r="J14" s="40"/>
      <c r="K14" s="40"/>
      <c r="L14" s="40"/>
      <c r="M14" s="41" t="str">
        <f t="shared" si="0"/>
        <v/>
      </c>
      <c r="N14" s="40"/>
      <c r="O14" s="40"/>
      <c r="P14" s="40"/>
      <c r="Q14" s="40"/>
      <c r="R14" s="40"/>
      <c r="S14" s="157" t="str">
        <f t="shared" si="1"/>
        <v/>
      </c>
      <c r="T14" s="40"/>
      <c r="U14" s="40"/>
      <c r="V14" s="40"/>
      <c r="W14" s="40"/>
      <c r="X14" s="40"/>
      <c r="Y14" s="157" t="str">
        <f t="shared" si="2"/>
        <v/>
      </c>
      <c r="Z14" s="40"/>
      <c r="AA14" s="40"/>
      <c r="AB14" s="40"/>
      <c r="AC14" s="40"/>
      <c r="AD14" s="40"/>
      <c r="AE14" s="157" t="str">
        <f t="shared" si="3"/>
        <v/>
      </c>
      <c r="AF14" s="40"/>
      <c r="AG14" s="40"/>
      <c r="AH14" s="40"/>
      <c r="AI14" s="40"/>
      <c r="AJ14" s="40"/>
      <c r="AK14" s="157" t="str">
        <f t="shared" si="4"/>
        <v/>
      </c>
      <c r="AL14" s="40"/>
    </row>
    <row r="15" spans="1:38">
      <c r="A15" s="190"/>
      <c r="B15" s="190"/>
      <c r="C15" s="112" t="str">
        <f>IFERROR(IF(INDEX(ITT_ChildProtection_OP_A,MATCH("2.3",ITT_ChildProtection_OP_A,0))="","",INDEX(ITT_ChildProtection_OP_A,MATCH("2.3",ITT_ChildProtection_OP_A,0))),"")</f>
        <v>2.3</v>
      </c>
      <c r="D15" s="59" t="str">
        <f>IFERROR(IF(INDEX(ITT_ChildProtection_OP_B,MATCH("2.3",ITT_ChildProtection_OP_A,0))="","",INDEX(ITT_ChildProtection_OP_B,MATCH("2.3",ITT_ChildProtection_OP_A,0))),"")</f>
        <v/>
      </c>
      <c r="E15" s="40" t="str">
        <f>IFERROR(IF(INDEX(ITT_ChildProtection_OP_E,MATCH("2.3",ITT_ChildProtection_OP_A,0))="","",INDEX(ITT_ChildProtection_OP_E,MATCH("2.3",ITT_ChildProtection_OP_A,0))),"")</f>
        <v/>
      </c>
      <c r="F15" s="40" t="str">
        <f>IFERROR(IF(INDEX(ITT_ChildProtection_OP_G,MATCH("2.3",ITT_ChildProtection_OP_A,0))="","",INDEX(ITT_ChildProtection_OP_G,MATCH("2.3",ITT_ChildProtection_OP_A,0))),"")</f>
        <v/>
      </c>
      <c r="G15" s="112" t="str">
        <f>IFERROR(IF(INDEX(ITT_ChildProtection_OP_J,MATCH("2.3",ITT_ChildProtection_OP_A,0))="","",INDEX(ITT_ChildProtection_OP_J,MATCH("2.3",ITT_ChildProtection_OP_A,0))),"")</f>
        <v/>
      </c>
      <c r="H15" s="112" t="str">
        <f>IFERROR(IF(INDEX(ITT_ChildProtection_OP_K,MATCH("2.3",ITT_ChildProtection_OP_A,0))="","",INDEX(ITT_ChildProtection_OP_K,MATCH("2.3",ITT_ChildProtection_OP_A,0))),"")</f>
        <v/>
      </c>
      <c r="I15" s="40"/>
      <c r="J15" s="40"/>
      <c r="K15" s="40"/>
      <c r="L15" s="40"/>
      <c r="M15" s="41" t="str">
        <f t="shared" si="0"/>
        <v/>
      </c>
      <c r="N15" s="40"/>
      <c r="O15" s="40"/>
      <c r="P15" s="40"/>
      <c r="Q15" s="40"/>
      <c r="R15" s="40"/>
      <c r="S15" s="157" t="str">
        <f t="shared" si="1"/>
        <v/>
      </c>
      <c r="T15" s="40"/>
      <c r="U15" s="40"/>
      <c r="V15" s="40"/>
      <c r="W15" s="40"/>
      <c r="X15" s="40"/>
      <c r="Y15" s="157" t="str">
        <f t="shared" si="2"/>
        <v/>
      </c>
      <c r="Z15" s="40"/>
      <c r="AA15" s="40"/>
      <c r="AB15" s="40"/>
      <c r="AC15" s="40"/>
      <c r="AD15" s="40"/>
      <c r="AE15" s="157" t="str">
        <f t="shared" si="3"/>
        <v/>
      </c>
      <c r="AF15" s="40"/>
      <c r="AG15" s="40"/>
      <c r="AH15" s="40"/>
      <c r="AI15" s="40"/>
      <c r="AJ15" s="40"/>
      <c r="AK15" s="157" t="str">
        <f t="shared" si="4"/>
        <v/>
      </c>
      <c r="AL15" s="40"/>
    </row>
    <row r="16" spans="1:38">
      <c r="A16" s="190"/>
      <c r="B16" s="190"/>
      <c r="C16" s="112" t="str">
        <f>IFERROR(IF(INDEX(ITT_ChildProtection_OP_A,MATCH("3.1",ITT_ChildProtection_OP_A,0))="","",INDEX(ITT_ChildProtection_OP_A,MATCH("3.1",ITT_ChildProtection_OP_A,0))),"")</f>
        <v>3.1</v>
      </c>
      <c r="D16" s="59" t="str">
        <f>IFERROR(IF(INDEX(ITT_ChildProtection_OP_B,MATCH("3.1",ITT_ChildProtection_OP_A,0))="","",INDEX(ITT_ChildProtection_OP_B,MATCH("3.1",ITT_ChildProtection_OP_A,0))),"")</f>
        <v/>
      </c>
      <c r="E16" s="40" t="str">
        <f>IFERROR(IF(INDEX(ITT_ChildProtection_OP_E,MATCH("3.1",ITT_ChildProtection_OP_A,0))="","",INDEX(ITT_ChildProtection_OP_E,MATCH("3.1",ITT_ChildProtection_OP_A,0))),"")</f>
        <v/>
      </c>
      <c r="F16" s="40" t="str">
        <f>IFERROR(IF(INDEX(ITT_ChildProtection_OP_G,MATCH("3.1",ITT_ChildProtection_OP_A,0))="","",INDEX(ITT_ChildProtection_OP_G,MATCH("3.1",ITT_ChildProtection_OP_A,0))),"")</f>
        <v/>
      </c>
      <c r="G16" s="112" t="str">
        <f>IFERROR(IF(INDEX(ITT_ChildProtection_OP_J,MATCH("3.1",ITT_ChildProtection_OP_A,0))="","",INDEX(ITT_ChildProtection_OP_J,MATCH("3.1",ITT_ChildProtection_OP_A,0))),"")</f>
        <v/>
      </c>
      <c r="H16" s="112" t="str">
        <f>IFERROR(IF(INDEX(ITT_ChildProtection_OP_K,MATCH("3.1",ITT_ChildProtection_OP_A,0))="","",INDEX(ITT_ChildProtection_OP_K,MATCH("3.1",ITT_ChildProtection_OP_A,0))),"")</f>
        <v/>
      </c>
      <c r="I16" s="40"/>
      <c r="J16" s="40"/>
      <c r="K16" s="40"/>
      <c r="L16" s="40"/>
      <c r="M16" s="41" t="str">
        <f t="shared" si="0"/>
        <v/>
      </c>
      <c r="N16" s="40"/>
      <c r="O16" s="40"/>
      <c r="P16" s="40"/>
      <c r="Q16" s="40"/>
      <c r="R16" s="40"/>
      <c r="S16" s="157" t="str">
        <f t="shared" si="1"/>
        <v/>
      </c>
      <c r="T16" s="40"/>
      <c r="U16" s="40"/>
      <c r="V16" s="40"/>
      <c r="W16" s="40"/>
      <c r="X16" s="40"/>
      <c r="Y16" s="157" t="str">
        <f t="shared" si="2"/>
        <v/>
      </c>
      <c r="Z16" s="40"/>
      <c r="AA16" s="40"/>
      <c r="AB16" s="40"/>
      <c r="AC16" s="40"/>
      <c r="AD16" s="40"/>
      <c r="AE16" s="157" t="str">
        <f t="shared" si="3"/>
        <v/>
      </c>
      <c r="AF16" s="40"/>
      <c r="AG16" s="40"/>
      <c r="AH16" s="40"/>
      <c r="AI16" s="40"/>
      <c r="AJ16" s="40"/>
      <c r="AK16" s="157" t="str">
        <f t="shared" si="4"/>
        <v/>
      </c>
      <c r="AL16" s="40"/>
    </row>
    <row r="17" spans="1:38">
      <c r="A17" s="190"/>
      <c r="B17" s="190"/>
      <c r="C17" s="112" t="str">
        <f>IFERROR(IF(INDEX(ITT_ChildProtection_OP_A,MATCH("3.2",ITT_ChildProtection_OP_A,0))="","",INDEX(ITT_ChildProtection_OP_A,MATCH("3.2",ITT_ChildProtection_OP_A,0))),"")</f>
        <v>3.2</v>
      </c>
      <c r="D17" s="59" t="str">
        <f>IFERROR(IF(INDEX(ITT_ChildProtection_OP_B,MATCH("3.2",ITT_ChildProtection_OP_A,0))="","",INDEX(ITT_ChildProtection_OP_B,MATCH("3.2",ITT_ChildProtection_OP_A,0))),"")</f>
        <v/>
      </c>
      <c r="E17" s="40" t="str">
        <f>IFERROR(IF(INDEX(ITT_ChildProtection_OP_E,MATCH("3.2",ITT_ChildProtection_OP_A,0))="","",INDEX(ITT_ChildProtection_OP_E,MATCH("3.2",ITT_ChildProtection_OP_A,0))),"")</f>
        <v/>
      </c>
      <c r="F17" s="40" t="str">
        <f>IFERROR(IF(INDEX(ITT_ChildProtection_OP_G,MATCH("3.2",ITT_ChildProtection_OP_A,0))="","",INDEX(ITT_ChildProtection_OP_G,MATCH("3.2",ITT_ChildProtection_OP_A,0))),"")</f>
        <v/>
      </c>
      <c r="G17" s="112" t="str">
        <f>IFERROR(IF(INDEX(ITT_ChildProtection_OP_J,MATCH("3.2",ITT_ChildProtection_OP_A,0))="","",INDEX(ITT_ChildProtection_OP_J,MATCH("3.2",ITT_ChildProtection_OP_A,0))),"")</f>
        <v/>
      </c>
      <c r="H17" s="112" t="str">
        <f>IFERROR(IF(INDEX(ITT_ChildProtection_OP_K,MATCH("3.2",ITT_ChildProtection_OP_A,0))="","",INDEX(ITT_ChildProtection_OP_K,MATCH("3.2",ITT_ChildProtection_OP_A,0))),"")</f>
        <v/>
      </c>
      <c r="I17" s="40"/>
      <c r="J17" s="40"/>
      <c r="K17" s="40"/>
      <c r="L17" s="40"/>
      <c r="M17" s="41" t="str">
        <f t="shared" si="0"/>
        <v/>
      </c>
      <c r="N17" s="40"/>
      <c r="O17" s="40"/>
      <c r="P17" s="40"/>
      <c r="Q17" s="40"/>
      <c r="R17" s="40"/>
      <c r="S17" s="157" t="str">
        <f t="shared" si="1"/>
        <v/>
      </c>
      <c r="T17" s="40"/>
      <c r="U17" s="40"/>
      <c r="V17" s="40"/>
      <c r="W17" s="40"/>
      <c r="X17" s="40"/>
      <c r="Y17" s="157" t="str">
        <f t="shared" si="2"/>
        <v/>
      </c>
      <c r="Z17" s="40"/>
      <c r="AA17" s="40"/>
      <c r="AB17" s="40"/>
      <c r="AC17" s="40"/>
      <c r="AD17" s="40"/>
      <c r="AE17" s="157" t="str">
        <f t="shared" si="3"/>
        <v/>
      </c>
      <c r="AF17" s="40"/>
      <c r="AG17" s="40"/>
      <c r="AH17" s="40"/>
      <c r="AI17" s="40"/>
      <c r="AJ17" s="40"/>
      <c r="AK17" s="157" t="str">
        <f t="shared" si="4"/>
        <v/>
      </c>
      <c r="AL17" s="40"/>
    </row>
    <row r="18" spans="1:38">
      <c r="A18" s="190"/>
      <c r="B18" s="190"/>
      <c r="C18" s="112" t="str">
        <f>IFERROR(IF(INDEX(ITT_ChildProtection_OP_A,MATCH("3.3",ITT_ChildProtection_OP_A,0))="","",INDEX(ITT_ChildProtection_OP_A,MATCH("3.3",ITT_ChildProtection_OP_A,0))),"")</f>
        <v>3.3</v>
      </c>
      <c r="D18" s="59" t="str">
        <f>IFERROR(IF(INDEX(ITT_ChildProtection_OP_B,MATCH("3.3",ITT_ChildProtection_OP_A,0))="","",INDEX(ITT_ChildProtection_OP_B,MATCH("3.3",ITT_ChildProtection_OP_A,0))),"")</f>
        <v/>
      </c>
      <c r="E18" s="40" t="str">
        <f>IFERROR(IF(INDEX(ITT_ChildProtection_OP_E,MATCH("3.3",ITT_ChildProtection_OP_A,0))="","",INDEX(ITT_ChildProtection_OP_E,MATCH("3.3",ITT_ChildProtection_OP_A,0))),"")</f>
        <v/>
      </c>
      <c r="F18" s="40" t="str">
        <f>IFERROR(IF(INDEX(ITT_ChildProtection_OP_G,MATCH("3.3",ITT_ChildProtection_OP_A,0))="","",INDEX(ITT_ChildProtection_OP_G,MATCH("3.3",ITT_ChildProtection_OP_A,0))),"")</f>
        <v/>
      </c>
      <c r="G18" s="112" t="str">
        <f>IFERROR(IF(INDEX(ITT_ChildProtection_OP_J,MATCH("3.3",ITT_ChildProtection_OP_A,0))="","",INDEX(ITT_ChildProtection_OP_J,MATCH("3.3",ITT_ChildProtection_OP_A,0))),"")</f>
        <v/>
      </c>
      <c r="H18" s="112" t="str">
        <f>IFERROR(IF(INDEX(ITT_ChildProtection_OP_K,MATCH("3.3",ITT_ChildProtection_OP_A,0))="","",INDEX(ITT_ChildProtection_OP_K,MATCH("3.3",ITT_ChildProtection_OP_A,0))),"")</f>
        <v/>
      </c>
      <c r="I18" s="40"/>
      <c r="J18" s="40"/>
      <c r="K18" s="40"/>
      <c r="L18" s="40"/>
      <c r="M18" s="41" t="str">
        <f t="shared" si="0"/>
        <v/>
      </c>
      <c r="N18" s="40"/>
      <c r="O18" s="40"/>
      <c r="P18" s="40"/>
      <c r="Q18" s="40"/>
      <c r="R18" s="40"/>
      <c r="S18" s="157" t="str">
        <f t="shared" si="1"/>
        <v/>
      </c>
      <c r="T18" s="40"/>
      <c r="U18" s="40"/>
      <c r="V18" s="40"/>
      <c r="W18" s="40"/>
      <c r="X18" s="40"/>
      <c r="Y18" s="157" t="str">
        <f t="shared" si="2"/>
        <v/>
      </c>
      <c r="Z18" s="40"/>
      <c r="AA18" s="40"/>
      <c r="AB18" s="40"/>
      <c r="AC18" s="40"/>
      <c r="AD18" s="40"/>
      <c r="AE18" s="157" t="str">
        <f t="shared" si="3"/>
        <v/>
      </c>
      <c r="AF18" s="40"/>
      <c r="AG18" s="40"/>
      <c r="AH18" s="40"/>
      <c r="AI18" s="40"/>
      <c r="AJ18" s="40"/>
      <c r="AK18" s="157" t="str">
        <f t="shared" si="4"/>
        <v/>
      </c>
      <c r="AL18" s="40"/>
    </row>
    <row r="19" spans="1:38">
      <c r="A19" s="190"/>
      <c r="B19" s="190"/>
      <c r="C19" s="112" t="str">
        <f>IFERROR(IF(INDEX(ITT_ChildProtection_OP_A,MATCH("4.1",ITT_ChildProtection_OP_A,0))="","",INDEX(ITT_ChildProtection_OP_A,MATCH("4.1",ITT_ChildProtection_OP_A,0))),"")</f>
        <v>4.1</v>
      </c>
      <c r="D19" s="59" t="str">
        <f>IFERROR(IF(INDEX(ITT_ChildProtection_OP_B,MATCH("4.1",ITT_ChildProtection_OP_A,0))="","",INDEX(ITT_ChildProtection_OP_B,MATCH("4.1",ITT_ChildProtection_OP_A,0))),"")</f>
        <v/>
      </c>
      <c r="E19" s="40" t="str">
        <f>IFERROR(IF(INDEX(ITT_ChildProtection_OP_E,MATCH("4.1",ITT_ChildProtection_OP_A,0))="","",INDEX(ITT_ChildProtection_OP_E,MATCH("4.1",ITT_ChildProtection_OP_A,0))),"")</f>
        <v/>
      </c>
      <c r="F19" s="40" t="str">
        <f>IFERROR(IF(INDEX(ITT_ChildProtection_OP_G,MATCH("4.1",ITT_ChildProtection_OP_A,0))="","",INDEX(ITT_ChildProtection_OP_G,MATCH("4.1",ITT_ChildProtection_OP_A,0))),"")</f>
        <v/>
      </c>
      <c r="G19" s="112" t="str">
        <f>IFERROR(IF(INDEX(ITT_ChildProtection_OP_J,MATCH("4.1",ITT_ChildProtection_OP_A,0))="","",INDEX(ITT_ChildProtection_OP_J,MATCH("4.1",ITT_ChildProtection_OP_A,0))),"")</f>
        <v/>
      </c>
      <c r="H19" s="112" t="str">
        <f>IFERROR(IF(INDEX(ITT_ChildProtection_OP_K,MATCH("4.1",ITT_ChildProtection_OP_A,0))="","",INDEX(ITT_ChildProtection_OP_K,MATCH("4.1",ITT_ChildProtection_OP_A,0))),"")</f>
        <v/>
      </c>
      <c r="I19" s="40"/>
      <c r="J19" s="40"/>
      <c r="K19" s="40"/>
      <c r="L19" s="40"/>
      <c r="M19" s="41" t="str">
        <f t="shared" si="0"/>
        <v/>
      </c>
      <c r="N19" s="40"/>
      <c r="O19" s="40"/>
      <c r="P19" s="40"/>
      <c r="Q19" s="40"/>
      <c r="R19" s="40"/>
      <c r="S19" s="157" t="str">
        <f t="shared" si="1"/>
        <v/>
      </c>
      <c r="T19" s="40"/>
      <c r="U19" s="40"/>
      <c r="V19" s="40"/>
      <c r="W19" s="40"/>
      <c r="X19" s="40"/>
      <c r="Y19" s="157" t="str">
        <f t="shared" si="2"/>
        <v/>
      </c>
      <c r="Z19" s="40"/>
      <c r="AA19" s="40"/>
      <c r="AB19" s="40"/>
      <c r="AC19" s="40"/>
      <c r="AD19" s="40"/>
      <c r="AE19" s="157" t="str">
        <f t="shared" si="3"/>
        <v/>
      </c>
      <c r="AF19" s="40"/>
      <c r="AG19" s="40"/>
      <c r="AH19" s="40"/>
      <c r="AI19" s="40"/>
      <c r="AJ19" s="40"/>
      <c r="AK19" s="157" t="str">
        <f t="shared" si="4"/>
        <v/>
      </c>
      <c r="AL19" s="40"/>
    </row>
    <row r="20" spans="1:38">
      <c r="A20" s="190"/>
      <c r="B20" s="190"/>
      <c r="C20" s="112" t="str">
        <f>IFERROR(IF(INDEX(ITT_ChildProtection_OP_A,MATCH("4.2",ITT_ChildProtection_OP_A,0))="","",INDEX(ITT_ChildProtection_OP_A,MATCH("4.2",ITT_ChildProtection_OP_A,0))),"")</f>
        <v>4.2</v>
      </c>
      <c r="D20" s="59" t="str">
        <f>IFERROR(IF(INDEX(ITT_ChildProtection_OP_B,MATCH("4.2",ITT_ChildProtection_OP_A,0))="","",INDEX(ITT_ChildProtection_OP_B,MATCH("4.2",ITT_ChildProtection_OP_A,0))),"")</f>
        <v/>
      </c>
      <c r="E20" s="40" t="str">
        <f>IFERROR(IF(INDEX(ITT_ChildProtection_OP_E,MATCH("4.2",ITT_ChildProtection_OP_A,0))="","",INDEX(ITT_ChildProtection_OP_E,MATCH("4.2",ITT_ChildProtection_OP_A,0))),"")</f>
        <v/>
      </c>
      <c r="F20" s="40" t="str">
        <f>IFERROR(IF(INDEX(ITT_ChildProtection_OP_G,MATCH("4.2",ITT_ChildProtection_OP_A,0))="","",INDEX(ITT_ChildProtection_OP_G,MATCH("4.2",ITT_ChildProtection_OP_A,0))),"")</f>
        <v/>
      </c>
      <c r="G20" s="112" t="str">
        <f>IFERROR(IF(INDEX(ITT_ChildProtection_OP_J,MATCH("4.2",ITT_ChildProtection_OP_A,0))="","",INDEX(ITT_ChildProtection_OP_J,MATCH("4.2",ITT_ChildProtection_OP_A,0))),"")</f>
        <v/>
      </c>
      <c r="H20" s="112" t="str">
        <f>IFERROR(IF(INDEX(ITT_ChildProtection_OP_K,MATCH("4.2",ITT_ChildProtection_OP_A,0))="","",INDEX(ITT_ChildProtection_OP_K,MATCH("4.2",ITT_ChildProtection_OP_A,0))),"")</f>
        <v/>
      </c>
      <c r="I20" s="40"/>
      <c r="J20" s="40"/>
      <c r="K20" s="40"/>
      <c r="L20" s="40"/>
      <c r="M20" s="41" t="str">
        <f t="shared" si="0"/>
        <v/>
      </c>
      <c r="N20" s="40"/>
      <c r="O20" s="40"/>
      <c r="P20" s="40"/>
      <c r="Q20" s="40"/>
      <c r="R20" s="40"/>
      <c r="S20" s="157" t="str">
        <f t="shared" si="1"/>
        <v/>
      </c>
      <c r="T20" s="40"/>
      <c r="U20" s="40"/>
      <c r="V20" s="40"/>
      <c r="W20" s="40"/>
      <c r="X20" s="40"/>
      <c r="Y20" s="157" t="str">
        <f t="shared" si="2"/>
        <v/>
      </c>
      <c r="Z20" s="40"/>
      <c r="AA20" s="40"/>
      <c r="AB20" s="40"/>
      <c r="AC20" s="40"/>
      <c r="AD20" s="40"/>
      <c r="AE20" s="157" t="str">
        <f t="shared" si="3"/>
        <v/>
      </c>
      <c r="AF20" s="40"/>
      <c r="AG20" s="40"/>
      <c r="AH20" s="40"/>
      <c r="AI20" s="40"/>
      <c r="AJ20" s="40"/>
      <c r="AK20" s="157" t="str">
        <f t="shared" si="4"/>
        <v/>
      </c>
      <c r="AL20" s="40"/>
    </row>
    <row r="21" spans="1:38">
      <c r="A21" s="190"/>
      <c r="B21" s="190"/>
      <c r="C21" s="112" t="str">
        <f>IFERROR(IF(INDEX(ITT_ChildProtection_OP_A,MATCH("4.3",ITT_ChildProtection_OP_A,0))="","",INDEX(ITT_ChildProtection_OP_A,MATCH("4.3",ITT_ChildProtection_OP_A,0))),"")</f>
        <v>4.3</v>
      </c>
      <c r="D21" s="59" t="str">
        <f>IFERROR(IF(INDEX(ITT_ChildProtection_OP_B,MATCH("4.3",ITT_ChildProtection_OP_A,0))="","",INDEX(ITT_ChildProtection_OP_B,MATCH("4.3",ITT_ChildProtection_OP_A,0))),"")</f>
        <v/>
      </c>
      <c r="E21" s="40" t="str">
        <f>IFERROR(IF(INDEX(ITT_ChildProtection_OP_E,MATCH("4.3",ITT_ChildProtection_OP_A,0))="","",INDEX(ITT_ChildProtection_OP_E,MATCH("4.3",ITT_ChildProtection_OP_A,0))),"")</f>
        <v/>
      </c>
      <c r="F21" s="40" t="str">
        <f>IFERROR(IF(INDEX(ITT_ChildProtection_OP_G,MATCH("4.3",ITT_ChildProtection_OP_A,0))="","",INDEX(ITT_ChildProtection_OP_G,MATCH("4.3",ITT_ChildProtection_OP_A,0))),"")</f>
        <v/>
      </c>
      <c r="G21" s="112" t="str">
        <f>IFERROR(IF(INDEX(ITT_ChildProtection_OP_J,MATCH("4.3",ITT_ChildProtection_OP_A,0))="","",INDEX(ITT_ChildProtection_OP_J,MATCH("4.3",ITT_ChildProtection_OP_A,0))),"")</f>
        <v/>
      </c>
      <c r="H21" s="112" t="str">
        <f>IFERROR(IF(INDEX(ITT_ChildProtection_OP_K,MATCH("4.3",ITT_ChildProtection_OP_A,0))="","",INDEX(ITT_ChildProtection_OP_K,MATCH("4.3",ITT_ChildProtection_OP_A,0))),"")</f>
        <v/>
      </c>
      <c r="I21" s="40"/>
      <c r="J21" s="40"/>
      <c r="K21" s="40"/>
      <c r="L21" s="40"/>
      <c r="M21" s="41" t="str">
        <f t="shared" si="0"/>
        <v/>
      </c>
      <c r="N21" s="40"/>
      <c r="O21" s="40"/>
      <c r="P21" s="40"/>
      <c r="Q21" s="40"/>
      <c r="R21" s="40"/>
      <c r="S21" s="157" t="str">
        <f t="shared" si="1"/>
        <v/>
      </c>
      <c r="T21" s="40"/>
      <c r="U21" s="40"/>
      <c r="V21" s="40"/>
      <c r="W21" s="40"/>
      <c r="X21" s="40"/>
      <c r="Y21" s="157" t="str">
        <f t="shared" si="2"/>
        <v/>
      </c>
      <c r="Z21" s="40"/>
      <c r="AA21" s="40"/>
      <c r="AB21" s="40"/>
      <c r="AC21" s="40"/>
      <c r="AD21" s="40"/>
      <c r="AE21" s="157" t="str">
        <f t="shared" si="3"/>
        <v/>
      </c>
      <c r="AF21" s="40"/>
      <c r="AG21" s="40"/>
      <c r="AH21" s="40"/>
      <c r="AI21" s="40"/>
      <c r="AJ21" s="40"/>
      <c r="AK21" s="157" t="str">
        <f t="shared" si="4"/>
        <v/>
      </c>
      <c r="AL21" s="40"/>
    </row>
    <row r="22" spans="1:38">
      <c r="A22" s="190"/>
      <c r="B22" s="190"/>
      <c r="C22" s="112" t="str">
        <f>IFERROR(IF(INDEX(ITT_ChildProtection_OP_A,MATCH("5.1",ITT_ChildProtection_OP_A,0))="","",INDEX(ITT_ChildProtection_OP_A,MATCH("5.1",ITT_ChildProtection_OP_A,0))),"")</f>
        <v>5.1</v>
      </c>
      <c r="D22" s="59" t="str">
        <f>IFERROR(IF(INDEX(ITT_ChildProtection_OP_B,MATCH("5.1",ITT_ChildProtection_OP_A,0))="","",INDEX(ITT_ChildProtection_OP_B,MATCH("5.1",ITT_ChildProtection_OP_A,0))),"")</f>
        <v/>
      </c>
      <c r="E22" s="40" t="str">
        <f>IFERROR(IF(INDEX(ITT_ChildProtection_OP_E,MATCH("5.1",ITT_ChildProtection_OP_A,0))="","",INDEX(ITT_ChildProtection_OP_E,MATCH("5.1",ITT_ChildProtection_OP_A,0))),"")</f>
        <v/>
      </c>
      <c r="F22" s="40" t="str">
        <f>IFERROR(IF(INDEX(ITT_ChildProtection_OP_G,MATCH("5.1",ITT_ChildProtection_OP_A,0))="","",INDEX(ITT_ChildProtection_OP_G,MATCH("5.1",ITT_ChildProtection_OP_A,0))),"")</f>
        <v/>
      </c>
      <c r="G22" s="112" t="str">
        <f>IFERROR(IF(INDEX(ITT_ChildProtection_OP_J,MATCH("5.1",ITT_ChildProtection_OP_A,0))="","",INDEX(ITT_ChildProtection_OP_J,MATCH("5.1",ITT_ChildProtection_OP_A,0))),"")</f>
        <v/>
      </c>
      <c r="H22" s="112" t="str">
        <f>IFERROR(IF(INDEX(ITT_ChildProtection_OP_K,MATCH("5.1",ITT_ChildProtection_OP_A,0))="","",INDEX(ITT_ChildProtection_OP_K,MATCH("5.1",ITT_ChildProtection_OP_A,0))),"")</f>
        <v/>
      </c>
      <c r="I22" s="40"/>
      <c r="J22" s="40"/>
      <c r="K22" s="40"/>
      <c r="L22" s="40"/>
      <c r="M22" s="41" t="str">
        <f t="shared" si="0"/>
        <v/>
      </c>
      <c r="N22" s="40"/>
      <c r="O22" s="40"/>
      <c r="P22" s="40"/>
      <c r="Q22" s="40"/>
      <c r="R22" s="40"/>
      <c r="S22" s="157" t="str">
        <f t="shared" si="1"/>
        <v/>
      </c>
      <c r="T22" s="40"/>
      <c r="U22" s="40"/>
      <c r="V22" s="40"/>
      <c r="W22" s="40"/>
      <c r="X22" s="40"/>
      <c r="Y22" s="157" t="str">
        <f t="shared" si="2"/>
        <v/>
      </c>
      <c r="Z22" s="40"/>
      <c r="AA22" s="40"/>
      <c r="AB22" s="40"/>
      <c r="AC22" s="40"/>
      <c r="AD22" s="40"/>
      <c r="AE22" s="157" t="str">
        <f t="shared" si="3"/>
        <v/>
      </c>
      <c r="AF22" s="40"/>
      <c r="AG22" s="40"/>
      <c r="AH22" s="40"/>
      <c r="AI22" s="40"/>
      <c r="AJ22" s="40"/>
      <c r="AK22" s="157" t="str">
        <f t="shared" si="4"/>
        <v/>
      </c>
      <c r="AL22" s="40"/>
    </row>
    <row r="23" spans="1:38">
      <c r="A23" s="190"/>
      <c r="B23" s="190"/>
      <c r="C23" s="112" t="str">
        <f>IFERROR(IF(INDEX(ITT_ChildProtection_OP_A,MATCH("5.2",ITT_ChildProtection_OP_A,0))="","",INDEX(ITT_ChildProtection_OP_A,MATCH("5.2",ITT_ChildProtection_OP_A,0))),"")</f>
        <v>5.2</v>
      </c>
      <c r="D23" s="59" t="str">
        <f>IFERROR(IF(INDEX(ITT_ChildProtection_OP_B,MATCH("5.2",ITT_ChildProtection_OP_A,0))="","",INDEX(ITT_ChildProtection_OP_B,MATCH("5.2",ITT_ChildProtection_OP_A,0))),"")</f>
        <v/>
      </c>
      <c r="E23" s="40" t="str">
        <f>IFERROR(IF(INDEX(ITT_ChildProtection_OP_E,MATCH("5.2",ITT_ChildProtection_OP_A,0))="","",INDEX(ITT_ChildProtection_OP_E,MATCH("5.2",ITT_ChildProtection_OP_A,0))),"")</f>
        <v/>
      </c>
      <c r="F23" s="40" t="str">
        <f>IFERROR(IF(INDEX(ITT_ChildProtection_OP_G,MATCH("5.2",ITT_ChildProtection_OP_A,0))="","",INDEX(ITT_ChildProtection_OP_G,MATCH("5.2",ITT_ChildProtection_OP_A,0))),"")</f>
        <v/>
      </c>
      <c r="G23" s="112" t="str">
        <f>IFERROR(IF(INDEX(ITT_ChildProtection_OP_J,MATCH("5.2",ITT_ChildProtection_OP_A,0))="","",INDEX(ITT_ChildProtection_OP_J,MATCH("5.2",ITT_ChildProtection_OP_A,0))),"")</f>
        <v/>
      </c>
      <c r="H23" s="112" t="str">
        <f>IFERROR(IF(INDEX(ITT_ChildProtection_OP_K,MATCH("5.2",ITT_ChildProtection_OP_A,0))="","",INDEX(ITT_ChildProtection_OP_K,MATCH("5.2",ITT_ChildProtection_OP_A,0))),"")</f>
        <v/>
      </c>
      <c r="I23" s="40"/>
      <c r="J23" s="40"/>
      <c r="K23" s="40"/>
      <c r="L23" s="40"/>
      <c r="M23" s="41" t="str">
        <f t="shared" si="0"/>
        <v/>
      </c>
      <c r="N23" s="40"/>
      <c r="O23" s="40"/>
      <c r="P23" s="40"/>
      <c r="Q23" s="40"/>
      <c r="R23" s="40"/>
      <c r="S23" s="157" t="str">
        <f t="shared" si="1"/>
        <v/>
      </c>
      <c r="T23" s="40"/>
      <c r="U23" s="40"/>
      <c r="V23" s="40"/>
      <c r="W23" s="40"/>
      <c r="X23" s="40"/>
      <c r="Y23" s="157" t="str">
        <f t="shared" si="2"/>
        <v/>
      </c>
      <c r="Z23" s="40"/>
      <c r="AA23" s="40"/>
      <c r="AB23" s="40"/>
      <c r="AC23" s="40"/>
      <c r="AD23" s="40"/>
      <c r="AE23" s="157" t="str">
        <f t="shared" si="3"/>
        <v/>
      </c>
      <c r="AF23" s="40"/>
      <c r="AG23" s="40"/>
      <c r="AH23" s="40"/>
      <c r="AI23" s="40"/>
      <c r="AJ23" s="40"/>
      <c r="AK23" s="157" t="str">
        <f t="shared" si="4"/>
        <v/>
      </c>
      <c r="AL23" s="40"/>
    </row>
    <row r="24" spans="1:38">
      <c r="A24" s="194"/>
      <c r="B24" s="194"/>
      <c r="C24" s="112" t="str">
        <f>IFERROR(IF(INDEX(ITT_ChildProtection_OP_A,MATCH("5.3",ITT_ChildProtection_OP_A,0))="","",INDEX(ITT_ChildProtection_OP_A,MATCH("5.3",ITT_ChildProtection_OP_A,0))),"")</f>
        <v>5.3</v>
      </c>
      <c r="D24" s="59" t="str">
        <f>IFERROR(IF(INDEX(ITT_ChildProtection_OP_B,MATCH("5.3",ITT_ChildProtection_OP_A,0))="","",INDEX(ITT_ChildProtection_OP_B,MATCH("5.3",ITT_ChildProtection_OP_A,0))),"")</f>
        <v/>
      </c>
      <c r="E24" s="40" t="str">
        <f>IFERROR(IF(INDEX(ITT_ChildProtection_OP_E,MATCH("5.3",ITT_ChildProtection_OP_A,0))="","",INDEX(ITT_ChildProtection_OP_E,MATCH("5.3",ITT_ChildProtection_OP_A,0))),"")</f>
        <v/>
      </c>
      <c r="F24" s="40" t="str">
        <f>IFERROR(IF(INDEX(ITT_ChildProtection_OP_G,MATCH("5.3",ITT_ChildProtection_OP_A,0))="","",INDEX(ITT_ChildProtection_OP_G,MATCH("5.3",ITT_ChildProtection_OP_A,0))),"")</f>
        <v/>
      </c>
      <c r="G24" s="112" t="str">
        <f>IFERROR(IF(INDEX(ITT_ChildProtection_OP_J,MATCH("5.3",ITT_ChildProtection_OP_A,0))="","",INDEX(ITT_ChildProtection_OP_J,MATCH("5.3",ITT_ChildProtection_OP_A,0))),"")</f>
        <v/>
      </c>
      <c r="H24" s="112" t="str">
        <f>IFERROR(IF(INDEX(ITT_ChildProtection_OP_K,MATCH("5.3",ITT_ChildProtection_OP_A,0))="","",INDEX(ITT_ChildProtection_OP_K,MATCH("5.3",ITT_ChildProtection_OP_A,0))),"")</f>
        <v/>
      </c>
      <c r="I24" s="40"/>
      <c r="J24" s="40"/>
      <c r="K24" s="40"/>
      <c r="L24" s="40"/>
      <c r="M24" s="41" t="str">
        <f t="shared" si="0"/>
        <v/>
      </c>
      <c r="N24" s="40"/>
      <c r="O24" s="40"/>
      <c r="P24" s="40"/>
      <c r="Q24" s="40"/>
      <c r="R24" s="40"/>
      <c r="S24" s="157" t="str">
        <f t="shared" si="1"/>
        <v/>
      </c>
      <c r="T24" s="40"/>
      <c r="U24" s="40"/>
      <c r="V24" s="40"/>
      <c r="W24" s="40"/>
      <c r="X24" s="40"/>
      <c r="Y24" s="157" t="str">
        <f t="shared" si="2"/>
        <v/>
      </c>
      <c r="Z24" s="40"/>
      <c r="AA24" s="40"/>
      <c r="AB24" s="40"/>
      <c r="AC24" s="40"/>
      <c r="AD24" s="40"/>
      <c r="AE24" s="157" t="str">
        <f t="shared" si="3"/>
        <v/>
      </c>
      <c r="AF24" s="40"/>
      <c r="AG24" s="40"/>
      <c r="AH24" s="40"/>
      <c r="AI24" s="40"/>
      <c r="AJ24" s="40"/>
      <c r="AK24" s="157" t="str">
        <f t="shared" si="4"/>
        <v/>
      </c>
      <c r="AL24" s="40"/>
    </row>
    <row r="25" spans="1:38" ht="17.25" customHeight="1">
      <c r="A25" s="360" t="s">
        <v>283</v>
      </c>
      <c r="B25" s="361" t="s">
        <v>125</v>
      </c>
      <c r="C25" s="112" t="str">
        <f>IFERROR(IF(INDEX(ITT_Education_OC_A,MATCH("1",ITT_Education_OC_A,0))="","",INDEX(ITT_Education_OC_A,MATCH("1",ITT_Education_OC_A,0))),"")</f>
        <v>1</v>
      </c>
      <c r="D25" s="59" t="str">
        <f>IFERROR(IF(INDEX(ITT_Education_OC_B,MATCH("1",ITT_Education_OC_A,0))="","",INDEX(ITT_Education_OC_B,MATCH("1",ITT_Education_OC_A,0))),"")</f>
        <v/>
      </c>
      <c r="E25" s="40" t="str">
        <f>IFERROR(IF(INDEX(ITT_Education_OC_E,MATCH("1",ITT_Education_OC_A,0))="","",INDEX(ITT_Education_OC_E,MATCH("1",ITT_Education_OC_A,0))),"")</f>
        <v/>
      </c>
      <c r="F25" s="40" t="str">
        <f>IFERROR(IF(INDEX(ITT_Education_OC_G,MATCH("1",ITT_Education_OC_A,0))="","",INDEX(ITT_Education_OC_G,MATCH("1",ITT_Education_OC_A,0))),"")</f>
        <v/>
      </c>
      <c r="G25" s="112" t="str">
        <f>IFERROR(IF(INDEX(ITT_Education_OC_J,MATCH("1",ITT_Education_OC_A,0))="","",INDEX(ITT_Education_OC_J,MATCH("1",ITT_Education_OC_A,0))),"")</f>
        <v/>
      </c>
      <c r="H25" s="112" t="str">
        <f>IFERROR(IF(INDEX(ITT_Education_OC_K,MATCH("1",ITT_Education_OC_A,0))="","",INDEX(ITT_Education_OC_K,MATCH("1",ITT_Education_OC_A,0))),"")</f>
        <v/>
      </c>
      <c r="I25" s="40"/>
      <c r="J25" s="40"/>
      <c r="K25" s="40"/>
      <c r="L25" s="40"/>
      <c r="M25" s="41" t="str">
        <f t="shared" si="0"/>
        <v/>
      </c>
      <c r="N25" s="40"/>
      <c r="O25" s="40"/>
      <c r="P25" s="40"/>
      <c r="Q25" s="40"/>
      <c r="R25" s="40"/>
      <c r="S25" s="157" t="str">
        <f t="shared" si="1"/>
        <v/>
      </c>
      <c r="T25" s="40"/>
      <c r="U25" s="40"/>
      <c r="V25" s="40"/>
      <c r="W25" s="40"/>
      <c r="X25" s="40"/>
      <c r="Y25" s="157" t="str">
        <f t="shared" si="2"/>
        <v/>
      </c>
      <c r="Z25" s="40"/>
      <c r="AA25" s="40"/>
      <c r="AB25" s="40"/>
      <c r="AC25" s="40"/>
      <c r="AD25" s="40"/>
      <c r="AE25" s="157" t="str">
        <f t="shared" si="3"/>
        <v/>
      </c>
      <c r="AF25" s="40"/>
      <c r="AG25" s="40"/>
      <c r="AH25" s="40"/>
      <c r="AI25" s="40"/>
      <c r="AJ25" s="40"/>
      <c r="AK25" s="157" t="str">
        <f t="shared" si="4"/>
        <v/>
      </c>
      <c r="AL25" s="40"/>
    </row>
    <row r="26" spans="1:38">
      <c r="A26" s="190"/>
      <c r="B26" s="190"/>
      <c r="C26" s="112" t="str">
        <f>IFERROR(IF(INDEX(ITT_Education_OC_A,MATCH("2",ITT_Education_OC_A,0))="","",INDEX(ITT_Education_OC_A,MATCH("2",ITT_Education_OC_A,0))),"")</f>
        <v>2</v>
      </c>
      <c r="D26" s="59" t="str">
        <f>IFERROR(IF(INDEX(ITT_Education_OC_B,MATCH("2",ITT_Education_OC_A,0))="","",INDEX(ITT_Education_OC_B,MATCH("2",ITT_Education_OC_A,0))),"")</f>
        <v/>
      </c>
      <c r="E26" s="40" t="str">
        <f>IFERROR(IF(INDEX(ITT_Education_OC_E,MATCH("2",ITT_Education_OC_A,0))="","",INDEX(ITT_Education_OC_E,MATCH("2",ITT_Education_OC_A,0))),"")</f>
        <v/>
      </c>
      <c r="F26" s="40" t="str">
        <f>IFERROR(IF(INDEX(ITT_Education_OC_G,MATCH("2",ITT_Education_OC_A,0))="","",INDEX(ITT_Education_OC_G,MATCH("2",ITT_Education_OC_A,0))),"")</f>
        <v/>
      </c>
      <c r="G26" s="112" t="str">
        <f>IFERROR(IF(INDEX(ITT_Education_OC_J,MATCH("2",ITT_Education_OC_A,0))="","",INDEX(ITT_Education_OC_J,MATCH("2",ITT_Education_OC_A,0))),"")</f>
        <v/>
      </c>
      <c r="H26" s="112" t="str">
        <f>IFERROR(IF(INDEX(ITT_Education_OC_K,MATCH("2",ITT_Education_OC_A,0))="","",INDEX(ITT_Education_OC_K,MATCH("2",ITT_Education_OC_A,0))),"")</f>
        <v/>
      </c>
      <c r="I26" s="40"/>
      <c r="J26" s="40"/>
      <c r="K26" s="40"/>
      <c r="L26" s="40"/>
      <c r="M26" s="41" t="str">
        <f t="shared" si="0"/>
        <v/>
      </c>
      <c r="N26" s="40"/>
      <c r="O26" s="40"/>
      <c r="P26" s="40"/>
      <c r="Q26" s="40"/>
      <c r="R26" s="40"/>
      <c r="S26" s="157" t="str">
        <f t="shared" si="1"/>
        <v/>
      </c>
      <c r="T26" s="40"/>
      <c r="U26" s="40"/>
      <c r="V26" s="40"/>
      <c r="W26" s="40"/>
      <c r="X26" s="40"/>
      <c r="Y26" s="157" t="str">
        <f t="shared" si="2"/>
        <v/>
      </c>
      <c r="Z26" s="40"/>
      <c r="AA26" s="40"/>
      <c r="AB26" s="40"/>
      <c r="AC26" s="40"/>
      <c r="AD26" s="40"/>
      <c r="AE26" s="157" t="str">
        <f t="shared" si="3"/>
        <v/>
      </c>
      <c r="AF26" s="40"/>
      <c r="AG26" s="40"/>
      <c r="AH26" s="40"/>
      <c r="AI26" s="40"/>
      <c r="AJ26" s="40"/>
      <c r="AK26" s="157" t="str">
        <f t="shared" si="4"/>
        <v/>
      </c>
      <c r="AL26" s="40"/>
    </row>
    <row r="27" spans="1:38">
      <c r="A27" s="190"/>
      <c r="B27" s="190"/>
      <c r="C27" s="112" t="str">
        <f>IFERROR(IF(INDEX(ITT_Education_OC_A,MATCH("3",ITT_Education_OC_A,0))="","",INDEX(ITT_Education_OC_A,MATCH("3",ITT_Education_OC_A,0))),"")</f>
        <v>3</v>
      </c>
      <c r="D27" s="59" t="str">
        <f>IFERROR(IF(INDEX(ITT_Education_OC_B,MATCH("3",ITT_Education_OC_A,0))="","",INDEX(ITT_Education_OC_B,MATCH("3",ITT_Education_OC_A,0))),"")</f>
        <v/>
      </c>
      <c r="E27" s="40" t="str">
        <f>IFERROR(IF(INDEX(ITT_Education_OC_E,MATCH("3",ITT_Education_OC_A,0))="","",INDEX(ITT_Education_OC_E,MATCH("3",ITT_Education_OC_A,0))),"")</f>
        <v/>
      </c>
      <c r="F27" s="40" t="str">
        <f>IFERROR(IF(INDEX(ITT_Education_OC_G,MATCH("3",ITT_Education_OC_A,0))="","",INDEX(ITT_Education_OC_G,MATCH("3",ITT_Education_OC_A,0))),"")</f>
        <v/>
      </c>
      <c r="G27" s="112" t="str">
        <f>IFERROR(IF(INDEX(ITT_Education_OC_J,MATCH("3",ITT_Education_OC_A,0))="","",INDEX(ITT_Education_OC_J,MATCH("3",ITT_Education_OC_A,0))),"")</f>
        <v/>
      </c>
      <c r="H27" s="112" t="str">
        <f>IFERROR(IF(INDEX(ITT_Education_OC_K,MATCH("3",ITT_Education_OC_A,0))="","",INDEX(ITT_Education_OC_K,MATCH("3",ITT_Education_OC_A,0))),"")</f>
        <v/>
      </c>
      <c r="I27" s="40"/>
      <c r="J27" s="40"/>
      <c r="K27" s="40"/>
      <c r="L27" s="40"/>
      <c r="M27" s="41" t="str">
        <f t="shared" si="0"/>
        <v/>
      </c>
      <c r="N27" s="40"/>
      <c r="O27" s="40"/>
      <c r="P27" s="40"/>
      <c r="Q27" s="40"/>
      <c r="R27" s="40"/>
      <c r="S27" s="157" t="str">
        <f t="shared" si="1"/>
        <v/>
      </c>
      <c r="T27" s="40"/>
      <c r="U27" s="40"/>
      <c r="V27" s="40"/>
      <c r="W27" s="40"/>
      <c r="X27" s="40"/>
      <c r="Y27" s="157" t="str">
        <f t="shared" si="2"/>
        <v/>
      </c>
      <c r="Z27" s="40"/>
      <c r="AA27" s="40"/>
      <c r="AB27" s="40"/>
      <c r="AC27" s="40"/>
      <c r="AD27" s="40"/>
      <c r="AE27" s="157" t="str">
        <f t="shared" si="3"/>
        <v/>
      </c>
      <c r="AF27" s="40"/>
      <c r="AG27" s="40"/>
      <c r="AH27" s="40"/>
      <c r="AI27" s="40"/>
      <c r="AJ27" s="40"/>
      <c r="AK27" s="157" t="str">
        <f t="shared" si="4"/>
        <v/>
      </c>
      <c r="AL27" s="40"/>
    </row>
    <row r="28" spans="1:38">
      <c r="A28" s="190"/>
      <c r="B28" s="190"/>
      <c r="C28" s="112" t="str">
        <f>IFERROR(IF(INDEX(ITT_Education_OC_A,MATCH("4",ITT_Education_OC_A,0))="","",INDEX(ITT_Education_OC_A,MATCH("4",ITT_Education_OC_A,0))),"")</f>
        <v>4</v>
      </c>
      <c r="D28" s="59" t="str">
        <f>IFERROR(IF(INDEX(ITT_Education_OC_B,MATCH("4",ITT_Education_OC_A,0))="","",INDEX(ITT_Education_OC_B,MATCH("4",ITT_Education_OC_A,0))),"")</f>
        <v/>
      </c>
      <c r="E28" s="40" t="str">
        <f>IFERROR(IF(INDEX(ITT_Education_OC_E,MATCH("4",ITT_Education_OC_A,0))="","",INDEX(ITT_Education_OC_E,MATCH("4",ITT_Education_OC_A,0))),"")</f>
        <v/>
      </c>
      <c r="F28" s="40" t="str">
        <f>IFERROR(IF(INDEX(ITT_Education_OC_G,MATCH("4",ITT_Education_OC_A,0))="","",INDEX(ITT_Education_OC_G,MATCH("4",ITT_Education_OC_A,0))),"")</f>
        <v/>
      </c>
      <c r="G28" s="112" t="str">
        <f>IFERROR(IF(INDEX(ITT_Education_OC_J,MATCH("4",ITT_Education_OC_A,0))="","",INDEX(ITT_Education_OC_J,MATCH("4",ITT_Education_OC_A,0))),"")</f>
        <v/>
      </c>
      <c r="H28" s="112" t="str">
        <f>IFERROR(IF(INDEX(ITT_Education_OC_K,MATCH("4",ITT_Education_OC_A,0))="","",INDEX(ITT_Education_OC_K,MATCH("4",ITT_Education_OC_A,0))),"")</f>
        <v/>
      </c>
      <c r="I28" s="40"/>
      <c r="J28" s="40"/>
      <c r="K28" s="40"/>
      <c r="L28" s="40"/>
      <c r="M28" s="41" t="str">
        <f t="shared" si="0"/>
        <v/>
      </c>
      <c r="N28" s="40"/>
      <c r="O28" s="40"/>
      <c r="P28" s="40"/>
      <c r="Q28" s="40"/>
      <c r="R28" s="40"/>
      <c r="S28" s="157" t="str">
        <f t="shared" si="1"/>
        <v/>
      </c>
      <c r="T28" s="40"/>
      <c r="U28" s="40"/>
      <c r="V28" s="40"/>
      <c r="W28" s="40"/>
      <c r="X28" s="40"/>
      <c r="Y28" s="157" t="str">
        <f t="shared" si="2"/>
        <v/>
      </c>
      <c r="Z28" s="40"/>
      <c r="AA28" s="40"/>
      <c r="AB28" s="40"/>
      <c r="AC28" s="40"/>
      <c r="AD28" s="40"/>
      <c r="AE28" s="157" t="str">
        <f t="shared" si="3"/>
        <v/>
      </c>
      <c r="AF28" s="40"/>
      <c r="AG28" s="40"/>
      <c r="AH28" s="40"/>
      <c r="AI28" s="40"/>
      <c r="AJ28" s="40"/>
      <c r="AK28" s="157" t="str">
        <f t="shared" si="4"/>
        <v/>
      </c>
      <c r="AL28" s="40"/>
    </row>
    <row r="29" spans="1:38">
      <c r="A29" s="190"/>
      <c r="B29" s="194"/>
      <c r="C29" s="112" t="str">
        <f>IFERROR(IF(INDEX(ITT_Education_OC_A,MATCH("5",ITT_Education_OC_A,0))="","",INDEX(ITT_Education_OC_A,MATCH("5",ITT_Education_OC_A,0))),"")</f>
        <v>5</v>
      </c>
      <c r="D29" s="60" t="str">
        <f>IFERROR(IF(INDEX(ITT_Education_OC_B,MATCH("5",ITT_Education_OC_A,0))="","",INDEX(ITT_Education_OC_B,MATCH("5",ITT_Education_OC_A,0))),"")</f>
        <v/>
      </c>
      <c r="E29" s="40" t="str">
        <f>IFERROR(IF(INDEX(ITT_Education_OC_E,MATCH("5",ITT_Education_OC_A,0))="","",INDEX(ITT_Education_OC_E,MATCH("5",ITT_Education_OC_A,0))),"")</f>
        <v/>
      </c>
      <c r="F29" s="40" t="str">
        <f>IFERROR(IF(INDEX(ITT_Education_OC_G,MATCH("5",ITT_Education_OC_A,0))="","",INDEX(ITT_Education_OC_G,MATCH("5",ITT_Education_OC_A,0))),"")</f>
        <v/>
      </c>
      <c r="G29" s="112" t="str">
        <f>IFERROR(IF(INDEX(ITT_Education_OC_J,MATCH("5",ITT_Education_OC_A,0))="","",INDEX(ITT_Education_OC_J,MATCH("5",ITT_Education_OC_A,0))),"")</f>
        <v/>
      </c>
      <c r="H29" s="112" t="str">
        <f>IFERROR(IF(INDEX(ITT_Education_OC_K,MATCH("5",ITT_Education_OC_A,0))="","",INDEX(ITT_Education_OC_K,MATCH("5",ITT_Education_OC_A,0))),"")</f>
        <v/>
      </c>
      <c r="I29" s="40"/>
      <c r="J29" s="40"/>
      <c r="K29" s="40"/>
      <c r="L29" s="40"/>
      <c r="M29" s="41" t="str">
        <f t="shared" si="0"/>
        <v/>
      </c>
      <c r="N29" s="40"/>
      <c r="O29" s="40"/>
      <c r="P29" s="40"/>
      <c r="Q29" s="40"/>
      <c r="R29" s="40"/>
      <c r="S29" s="157" t="str">
        <f t="shared" si="1"/>
        <v/>
      </c>
      <c r="T29" s="40"/>
      <c r="U29" s="40"/>
      <c r="V29" s="40"/>
      <c r="W29" s="40"/>
      <c r="X29" s="40"/>
      <c r="Y29" s="157" t="str">
        <f t="shared" si="2"/>
        <v/>
      </c>
      <c r="Z29" s="40"/>
      <c r="AA29" s="40"/>
      <c r="AB29" s="40"/>
      <c r="AC29" s="40"/>
      <c r="AD29" s="40"/>
      <c r="AE29" s="157" t="str">
        <f t="shared" si="3"/>
        <v/>
      </c>
      <c r="AF29" s="40"/>
      <c r="AG29" s="40"/>
      <c r="AH29" s="40"/>
      <c r="AI29" s="40"/>
      <c r="AJ29" s="40"/>
      <c r="AK29" s="157" t="str">
        <f t="shared" si="4"/>
        <v/>
      </c>
      <c r="AL29" s="40"/>
    </row>
    <row r="30" spans="1:38" ht="17.25" customHeight="1">
      <c r="A30" s="190"/>
      <c r="B30" s="361" t="s">
        <v>131</v>
      </c>
      <c r="C30" s="112" t="str">
        <f>IFERROR(IF(INDEX(ITT_Education_OP_A,MATCH("1.1",ITT_Education_OP_A,0))="","",INDEX(ITT_Education_OP_A,MATCH("1.1",ITT_Education_OP_A,0))),"")</f>
        <v>1.1</v>
      </c>
      <c r="D30" s="60" t="str">
        <f>IFERROR(IF(INDEX(ITT_Education_OP_B,MATCH("1.1",ITT_Education_OP_A,0))="","",INDEX(ITT_Education_OP_B,MATCH("1.1",ITT_Education_OP_A,0))),"")</f>
        <v/>
      </c>
      <c r="E30" s="40" t="str">
        <f>IFERROR(IF(INDEX(ITT_Education_OP_E,MATCH("1.1",ITT_Education_OP_A,0))="","",INDEX(ITT_Education_OP_E,MATCH("1.1",ITT_Education_OP_A,0))),"")</f>
        <v/>
      </c>
      <c r="F30" s="40" t="str">
        <f>IFERROR(IF(INDEX(ITT_Education_OP_G,MATCH("1.1",ITT_Education_OP_A,0))="","",INDEX(ITT_Education_OP_G,MATCH("1.1",ITT_Education_OP_A,0))),"")</f>
        <v/>
      </c>
      <c r="G30" s="112" t="str">
        <f>IFERROR(IF(INDEX(ITT_Education_OP_J,MATCH("1.1",ITT_Education_OP_A,0))="","",INDEX(ITT_Education_OP_J,MATCH("1.1",ITT_Education_OP_A,0))),"")</f>
        <v/>
      </c>
      <c r="H30" s="112" t="str">
        <f>IFERROR(IF(INDEX(ITT_Education_OP_K,MATCH("1.1",ITT_Education_OP_A,0))="","",INDEX(ITT_Education_OP_K,MATCH("1.1",ITT_Education_OP_A,0))),"")</f>
        <v/>
      </c>
      <c r="I30" s="40"/>
      <c r="J30" s="40"/>
      <c r="K30" s="40"/>
      <c r="L30" s="40"/>
      <c r="M30" s="41" t="str">
        <f t="shared" si="0"/>
        <v/>
      </c>
      <c r="N30" s="40"/>
      <c r="O30" s="40"/>
      <c r="P30" s="40"/>
      <c r="Q30" s="40"/>
      <c r="R30" s="40"/>
      <c r="S30" s="157" t="str">
        <f t="shared" si="1"/>
        <v/>
      </c>
      <c r="T30" s="40"/>
      <c r="U30" s="40"/>
      <c r="V30" s="40"/>
      <c r="W30" s="40"/>
      <c r="X30" s="40"/>
      <c r="Y30" s="157" t="str">
        <f t="shared" si="2"/>
        <v/>
      </c>
      <c r="Z30" s="40"/>
      <c r="AA30" s="40"/>
      <c r="AB30" s="40"/>
      <c r="AC30" s="40"/>
      <c r="AD30" s="40"/>
      <c r="AE30" s="157" t="str">
        <f t="shared" si="3"/>
        <v/>
      </c>
      <c r="AF30" s="40"/>
      <c r="AG30" s="40"/>
      <c r="AH30" s="40"/>
      <c r="AI30" s="40"/>
      <c r="AJ30" s="40"/>
      <c r="AK30" s="157" t="str">
        <f t="shared" si="4"/>
        <v/>
      </c>
      <c r="AL30" s="40"/>
    </row>
    <row r="31" spans="1:38">
      <c r="A31" s="190"/>
      <c r="B31" s="190"/>
      <c r="C31" s="112" t="str">
        <f>IFERROR(IF(INDEX(ITT_Education_OP_A,MATCH("1.2",ITT_Education_OP_A,0))="","",INDEX(ITT_Education_OP_A,MATCH("1.2",ITT_Education_OP_A,0))),"")</f>
        <v>1.2</v>
      </c>
      <c r="D31" s="60" t="str">
        <f>IFERROR(IF(INDEX(ITT_Education_OP_B,MATCH("1.2",ITT_Education_OP_A,0))="","",INDEX(ITT_Education_OP_B,MATCH("1.2",ITT_Education_OP_A,0))),"")</f>
        <v/>
      </c>
      <c r="E31" s="40" t="str">
        <f>IFERROR(IF(INDEX(ITT_Education_OP_E,MATCH("1.2",ITT_Education_OP_A,0))="","",INDEX(ITT_Education_OP_E,MATCH("1.2",ITT_Education_OP_A,0))),"")</f>
        <v/>
      </c>
      <c r="F31" s="40" t="str">
        <f>IFERROR(IF(INDEX(ITT_Education_OP_G,MATCH("1.2",ITT_Education_OP_A,0))="","",INDEX(ITT_Education_OP_G,MATCH("1.2",ITT_Education_OP_A,0))),"")</f>
        <v/>
      </c>
      <c r="G31" s="112" t="str">
        <f>IFERROR(IF(INDEX(ITT_Education_OP_J,MATCH("1.2",ITT_Education_OP_A,0))="","",INDEX(ITT_Education_OP_J,MATCH("1.2",ITT_Education_OP_A,0))),"")</f>
        <v/>
      </c>
      <c r="H31" s="112" t="str">
        <f>IFERROR(IF(INDEX(ITT_Education_OP_K,MATCH("1.2",ITT_Education_OP_A,0))="","",INDEX(ITT_Education_OP_K,MATCH("1.2",ITT_Education_OP_A,0))),"")</f>
        <v/>
      </c>
      <c r="I31" s="40"/>
      <c r="J31" s="40"/>
      <c r="K31" s="40"/>
      <c r="L31" s="40"/>
      <c r="M31" s="41" t="str">
        <f t="shared" si="0"/>
        <v/>
      </c>
      <c r="N31" s="40"/>
      <c r="O31" s="40"/>
      <c r="P31" s="40"/>
      <c r="Q31" s="40"/>
      <c r="R31" s="40"/>
      <c r="S31" s="157" t="str">
        <f t="shared" si="1"/>
        <v/>
      </c>
      <c r="T31" s="40"/>
      <c r="U31" s="40"/>
      <c r="V31" s="40"/>
      <c r="W31" s="40"/>
      <c r="X31" s="40"/>
      <c r="Y31" s="157" t="str">
        <f t="shared" si="2"/>
        <v/>
      </c>
      <c r="Z31" s="40"/>
      <c r="AA31" s="40"/>
      <c r="AB31" s="40"/>
      <c r="AC31" s="40"/>
      <c r="AD31" s="40"/>
      <c r="AE31" s="157" t="str">
        <f t="shared" si="3"/>
        <v/>
      </c>
      <c r="AF31" s="40"/>
      <c r="AG31" s="40"/>
      <c r="AH31" s="40"/>
      <c r="AI31" s="40"/>
      <c r="AJ31" s="40"/>
      <c r="AK31" s="157" t="str">
        <f t="shared" si="4"/>
        <v/>
      </c>
      <c r="AL31" s="40"/>
    </row>
    <row r="32" spans="1:38">
      <c r="A32" s="190"/>
      <c r="B32" s="190"/>
      <c r="C32" s="112" t="str">
        <f>IFERROR(IF(INDEX(ITT_Education_OP_A,MATCH("1.3",ITT_Education_OP_A,0))="","",INDEX(ITT_Education_OP_A,MATCH("1.3",ITT_Education_OP_A,0))),"")</f>
        <v>1.3</v>
      </c>
      <c r="D32" s="60" t="str">
        <f>IFERROR(IF(INDEX(ITT_Education_OP_B,MATCH("1.3",ITT_Education_OP_A,0))="","",INDEX(ITT_Education_OP_B,MATCH("1.3",ITT_Education_OP_A,0))),"")</f>
        <v/>
      </c>
      <c r="E32" s="40" t="str">
        <f>IFERROR(IF(INDEX(ITT_Education_OP_E,MATCH("1.3",ITT_Education_OP_A,0))="","",INDEX(ITT_Education_OP_E,MATCH("1.3",ITT_Education_OP_A,0))),"")</f>
        <v/>
      </c>
      <c r="F32" s="40" t="str">
        <f>IFERROR(IF(INDEX(ITT_Education_OP_G,MATCH("1.3",ITT_Education_OP_A,0))="","",INDEX(ITT_Education_OP_G,MATCH("1.3",ITT_Education_OP_A,0))),"")</f>
        <v/>
      </c>
      <c r="G32" s="112" t="str">
        <f>IFERROR(IF(INDEX(ITT_Education_OP_J,MATCH("1.3",ITT_Education_OP_A,0))="","",INDEX(ITT_Education_OP_J,MATCH("1.3",ITT_Education_OP_A,0))),"")</f>
        <v/>
      </c>
      <c r="H32" s="112" t="str">
        <f>IFERROR(IF(INDEX(ITT_Education_OP_K,MATCH("1.3",ITT_Education_OP_A,0))="","",INDEX(ITT_Education_OP_K,MATCH("1.3",ITT_Education_OP_A,0))),"")</f>
        <v/>
      </c>
      <c r="I32" s="40"/>
      <c r="J32" s="40"/>
      <c r="K32" s="40"/>
      <c r="L32" s="40"/>
      <c r="M32" s="41" t="str">
        <f t="shared" si="0"/>
        <v/>
      </c>
      <c r="N32" s="40"/>
      <c r="O32" s="40"/>
      <c r="P32" s="40"/>
      <c r="Q32" s="40"/>
      <c r="R32" s="40"/>
      <c r="S32" s="157" t="str">
        <f t="shared" si="1"/>
        <v/>
      </c>
      <c r="T32" s="40"/>
      <c r="U32" s="40"/>
      <c r="V32" s="40"/>
      <c r="W32" s="40"/>
      <c r="X32" s="40"/>
      <c r="Y32" s="157" t="str">
        <f t="shared" si="2"/>
        <v/>
      </c>
      <c r="Z32" s="40"/>
      <c r="AA32" s="40"/>
      <c r="AB32" s="40"/>
      <c r="AC32" s="40"/>
      <c r="AD32" s="40"/>
      <c r="AE32" s="157" t="str">
        <f t="shared" si="3"/>
        <v/>
      </c>
      <c r="AF32" s="40"/>
      <c r="AG32" s="40"/>
      <c r="AH32" s="40"/>
      <c r="AI32" s="40"/>
      <c r="AJ32" s="40"/>
      <c r="AK32" s="157" t="str">
        <f t="shared" si="4"/>
        <v/>
      </c>
      <c r="AL32" s="40"/>
    </row>
    <row r="33" spans="1:38">
      <c r="A33" s="190"/>
      <c r="B33" s="190"/>
      <c r="C33" s="112" t="str">
        <f>IFERROR(IF(INDEX(ITT_Education_OP_A,MATCH("2.1",ITT_Education_OP_A,0))="","",INDEX(ITT_Education_OP_A,MATCH("2.1",ITT_Education_OP_A,0))),"")</f>
        <v>2.1</v>
      </c>
      <c r="D33" s="60" t="str">
        <f>IFERROR(IF(INDEX(ITT_Education_OP_B,MATCH("2.1",ITT_Education_OP_A,0))="","",INDEX(ITT_Education_OP_B,MATCH("2.1",ITT_Education_OP_A,0))),"")</f>
        <v/>
      </c>
      <c r="E33" s="40" t="str">
        <f>IFERROR(IF(INDEX(ITT_Education_OP_E,MATCH("2.1",ITT_Education_OP_A,0))="","",INDEX(ITT_Education_OP_E,MATCH("2.1",ITT_Education_OP_A,0))),"")</f>
        <v/>
      </c>
      <c r="F33" s="40" t="str">
        <f>IFERROR(IF(INDEX(ITT_Education_OP_G,MATCH("2.1",ITT_Education_OP_A,0))="","",INDEX(ITT_Education_OP_G,MATCH("2.1",ITT_Education_OP_A,0))),"")</f>
        <v/>
      </c>
      <c r="G33" s="112" t="str">
        <f>IFERROR(IF(INDEX(ITT_Education_OP_J,MATCH("2.1",ITT_Education_OP_A,0))="","",INDEX(ITT_Education_OP_J,MATCH("2.1",ITT_Education_OP_A,0))),"")</f>
        <v/>
      </c>
      <c r="H33" s="112" t="str">
        <f>IFERROR(IF(INDEX(ITT_Education_OP_K,MATCH("2.1",ITT_Education_OP_A,0))="","",INDEX(ITT_Education_OP_K,MATCH("2.1",ITT_Education_OP_A,0))),"")</f>
        <v/>
      </c>
      <c r="I33" s="40"/>
      <c r="J33" s="40"/>
      <c r="K33" s="40"/>
      <c r="L33" s="40"/>
      <c r="M33" s="41" t="str">
        <f t="shared" si="0"/>
        <v/>
      </c>
      <c r="N33" s="40"/>
      <c r="O33" s="40"/>
      <c r="P33" s="40"/>
      <c r="Q33" s="40"/>
      <c r="R33" s="40"/>
      <c r="S33" s="157" t="str">
        <f t="shared" si="1"/>
        <v/>
      </c>
      <c r="T33" s="40"/>
      <c r="U33" s="40"/>
      <c r="V33" s="40"/>
      <c r="W33" s="40"/>
      <c r="X33" s="40"/>
      <c r="Y33" s="157" t="str">
        <f t="shared" si="2"/>
        <v/>
      </c>
      <c r="Z33" s="40"/>
      <c r="AA33" s="40"/>
      <c r="AB33" s="40"/>
      <c r="AC33" s="40"/>
      <c r="AD33" s="40"/>
      <c r="AE33" s="157" t="str">
        <f t="shared" si="3"/>
        <v/>
      </c>
      <c r="AF33" s="40"/>
      <c r="AG33" s="40"/>
      <c r="AH33" s="40"/>
      <c r="AI33" s="40"/>
      <c r="AJ33" s="40"/>
      <c r="AK33" s="157" t="str">
        <f t="shared" si="4"/>
        <v/>
      </c>
      <c r="AL33" s="40"/>
    </row>
    <row r="34" spans="1:38">
      <c r="A34" s="190"/>
      <c r="B34" s="190"/>
      <c r="C34" s="112" t="str">
        <f>IFERROR(IF(INDEX(ITT_Education_OP_A,MATCH("2.2",ITT_Education_OP_A,0))="","",INDEX(ITT_Education_OP_A,MATCH("2.2",ITT_Education_OP_A,0))),"")</f>
        <v>2.2</v>
      </c>
      <c r="D34" s="60" t="str">
        <f>IFERROR(IF(INDEX(ITT_Education_OP_B,MATCH("2.2",ITT_Education_OP_A,0))="","",INDEX(ITT_Education_OP_B,MATCH("2.2",ITT_Education_OP_A,0))),"")</f>
        <v/>
      </c>
      <c r="E34" s="40" t="str">
        <f>IFERROR(IF(INDEX(ITT_Education_OP_E,MATCH("2.2",ITT_Education_OP_A,0))="","",INDEX(ITT_Education_OP_E,MATCH("2.2",ITT_Education_OP_A,0))),"")</f>
        <v/>
      </c>
      <c r="F34" s="40" t="str">
        <f>IFERROR(IF(INDEX(ITT_Education_OP_G,MATCH("2.2",ITT_Education_OP_A,0))="","",INDEX(ITT_Education_OP_G,MATCH("2.2",ITT_Education_OP_A,0))),"")</f>
        <v/>
      </c>
      <c r="G34" s="112" t="str">
        <f>IFERROR(IF(INDEX(ITT_Education_OP_J,MATCH("2.2",ITT_Education_OP_A,0))="","",INDEX(ITT_Education_OP_J,MATCH("2.2",ITT_Education_OP_A,0))),"")</f>
        <v/>
      </c>
      <c r="H34" s="112" t="str">
        <f>IFERROR(IF(INDEX(ITT_Education_OP_K,MATCH("2.2",ITT_Education_OP_A,0))="","",INDEX(ITT_Education_OP_K,MATCH("2.2",ITT_Education_OP_A,0))),"")</f>
        <v/>
      </c>
      <c r="I34" s="40"/>
      <c r="J34" s="40"/>
      <c r="K34" s="40"/>
      <c r="L34" s="40"/>
      <c r="M34" s="41" t="str">
        <f t="shared" si="0"/>
        <v/>
      </c>
      <c r="N34" s="40"/>
      <c r="O34" s="40"/>
      <c r="P34" s="40"/>
      <c r="Q34" s="40"/>
      <c r="R34" s="40"/>
      <c r="S34" s="157" t="str">
        <f t="shared" si="1"/>
        <v/>
      </c>
      <c r="T34" s="40"/>
      <c r="U34" s="40"/>
      <c r="V34" s="40"/>
      <c r="W34" s="40"/>
      <c r="X34" s="40"/>
      <c r="Y34" s="157" t="str">
        <f t="shared" si="2"/>
        <v/>
      </c>
      <c r="Z34" s="40"/>
      <c r="AA34" s="40"/>
      <c r="AB34" s="40"/>
      <c r="AC34" s="40"/>
      <c r="AD34" s="40"/>
      <c r="AE34" s="157" t="str">
        <f t="shared" si="3"/>
        <v/>
      </c>
      <c r="AF34" s="40"/>
      <c r="AG34" s="40"/>
      <c r="AH34" s="40"/>
      <c r="AI34" s="40"/>
      <c r="AJ34" s="40"/>
      <c r="AK34" s="157" t="str">
        <f t="shared" si="4"/>
        <v/>
      </c>
      <c r="AL34" s="40"/>
    </row>
    <row r="35" spans="1:38">
      <c r="A35" s="190"/>
      <c r="B35" s="190"/>
      <c r="C35" s="112" t="str">
        <f>IFERROR(IF(INDEX(ITT_Education_OP_A,MATCH("2.3",ITT_Education_OP_A,0))="","",INDEX(ITT_Education_OP_A,MATCH("2.3",ITT_Education_OP_A,0))),"")</f>
        <v>2.3</v>
      </c>
      <c r="D35" s="60" t="str">
        <f>IFERROR(IF(INDEX(ITT_Education_OP_B,MATCH("2.3",ITT_Education_OP_A,0))="","",INDEX(ITT_Education_OP_B,MATCH("2.3",ITT_Education_OP_A,0))),"")</f>
        <v/>
      </c>
      <c r="E35" s="40" t="str">
        <f>IFERROR(IF(INDEX(ITT_Education_OP_E,MATCH("2.3",ITT_Education_OP_A,0))="","",INDEX(ITT_Education_OP_E,MATCH("2.3",ITT_Education_OP_A,0))),"")</f>
        <v/>
      </c>
      <c r="F35" s="40" t="str">
        <f>IFERROR(IF(INDEX(ITT_Education_OP_G,MATCH("2.3",ITT_Education_OP_A,0))="","",INDEX(ITT_Education_OP_G,MATCH("2.3",ITT_Education_OP_A,0))),"")</f>
        <v/>
      </c>
      <c r="G35" s="112" t="str">
        <f>IFERROR(IF(INDEX(ITT_Education_OP_J,MATCH("2.3",ITT_Education_OP_A,0))="","",INDEX(ITT_Education_OP_J,MATCH("2.3",ITT_Education_OP_A,0))),"")</f>
        <v/>
      </c>
      <c r="H35" s="112" t="str">
        <f>IFERROR(IF(INDEX(ITT_Education_OP_K,MATCH("2.3",ITT_Education_OP_A,0))="","",INDEX(ITT_Education_OP_K,MATCH("2.3",ITT_Education_OP_A,0))),"")</f>
        <v/>
      </c>
      <c r="I35" s="40"/>
      <c r="J35" s="40"/>
      <c r="K35" s="40"/>
      <c r="L35" s="40"/>
      <c r="M35" s="41" t="str">
        <f t="shared" si="0"/>
        <v/>
      </c>
      <c r="N35" s="40"/>
      <c r="O35" s="40"/>
      <c r="P35" s="40"/>
      <c r="Q35" s="40"/>
      <c r="R35" s="40"/>
      <c r="S35" s="157" t="str">
        <f t="shared" si="1"/>
        <v/>
      </c>
      <c r="T35" s="40"/>
      <c r="U35" s="40"/>
      <c r="V35" s="40"/>
      <c r="W35" s="40"/>
      <c r="X35" s="40"/>
      <c r="Y35" s="157" t="str">
        <f t="shared" si="2"/>
        <v/>
      </c>
      <c r="Z35" s="40"/>
      <c r="AA35" s="40"/>
      <c r="AB35" s="40"/>
      <c r="AC35" s="40"/>
      <c r="AD35" s="40"/>
      <c r="AE35" s="157" t="str">
        <f t="shared" si="3"/>
        <v/>
      </c>
      <c r="AF35" s="40"/>
      <c r="AG35" s="40"/>
      <c r="AH35" s="40"/>
      <c r="AI35" s="40"/>
      <c r="AJ35" s="40"/>
      <c r="AK35" s="157" t="str">
        <f t="shared" si="4"/>
        <v/>
      </c>
      <c r="AL35" s="40"/>
    </row>
    <row r="36" spans="1:38">
      <c r="A36" s="190"/>
      <c r="B36" s="190"/>
      <c r="C36" s="112" t="str">
        <f>IFERROR(IF(INDEX(ITT_Education_OP_A,MATCH("3.1",ITT_Education_OP_A,0))="","",INDEX(ITT_Education_OP_A,MATCH("3.1",ITT_Education_OP_A,0))),"")</f>
        <v>3.1</v>
      </c>
      <c r="D36" s="60" t="str">
        <f>IFERROR(IF(INDEX(ITT_Education_OP_B,MATCH("3.1",ITT_Education_OP_A,0))="","",INDEX(ITT_Education_OP_B,MATCH("3.1",ITT_Education_OP_A,0))),"")</f>
        <v/>
      </c>
      <c r="E36" s="40" t="str">
        <f>IFERROR(IF(INDEX(ITT_Education_OP_E,MATCH("3.1",ITT_Education_OP_A,0))="","",INDEX(ITT_Education_OP_E,MATCH("3.1",ITT_Education_OP_A,0))),"")</f>
        <v/>
      </c>
      <c r="F36" s="40" t="str">
        <f>IFERROR(IF(INDEX(ITT_Education_OP_G,MATCH("3.1",ITT_Education_OP_A,0))="","",INDEX(ITT_Education_OP_G,MATCH("3.1",ITT_Education_OP_A,0))),"")</f>
        <v/>
      </c>
      <c r="G36" s="112" t="str">
        <f>IFERROR(IF(INDEX(ITT_Education_OP_J,MATCH("3.1",ITT_Education_OP_A,0))="","",INDEX(ITT_Education_OP_J,MATCH("3.1",ITT_Education_OP_A,0))),"")</f>
        <v/>
      </c>
      <c r="H36" s="112" t="str">
        <f>IFERROR(IF(INDEX(ITT_Education_OP_K,MATCH("3.1",ITT_Education_OP_A,0))="","",INDEX(ITT_Education_OP_K,MATCH("3.1",ITT_Education_OP_A,0))),"")</f>
        <v/>
      </c>
      <c r="I36" s="40"/>
      <c r="J36" s="40"/>
      <c r="K36" s="40"/>
      <c r="L36" s="40"/>
      <c r="M36" s="41" t="str">
        <f t="shared" si="0"/>
        <v/>
      </c>
      <c r="N36" s="40"/>
      <c r="O36" s="40"/>
      <c r="P36" s="40"/>
      <c r="Q36" s="40"/>
      <c r="R36" s="40"/>
      <c r="S36" s="157" t="str">
        <f t="shared" si="1"/>
        <v/>
      </c>
      <c r="T36" s="40"/>
      <c r="U36" s="40"/>
      <c r="V36" s="40"/>
      <c r="W36" s="40"/>
      <c r="X36" s="40"/>
      <c r="Y36" s="157" t="str">
        <f t="shared" si="2"/>
        <v/>
      </c>
      <c r="Z36" s="40"/>
      <c r="AA36" s="40"/>
      <c r="AB36" s="40"/>
      <c r="AC36" s="40"/>
      <c r="AD36" s="40"/>
      <c r="AE36" s="157" t="str">
        <f t="shared" si="3"/>
        <v/>
      </c>
      <c r="AF36" s="40"/>
      <c r="AG36" s="40"/>
      <c r="AH36" s="40"/>
      <c r="AI36" s="40"/>
      <c r="AJ36" s="40"/>
      <c r="AK36" s="157" t="str">
        <f t="shared" si="4"/>
        <v/>
      </c>
      <c r="AL36" s="40"/>
    </row>
    <row r="37" spans="1:38">
      <c r="A37" s="190"/>
      <c r="B37" s="190"/>
      <c r="C37" s="112" t="str">
        <f>IFERROR(IF(INDEX(ITT_Education_OP_A,MATCH("3.2",ITT_Education_OP_A,0))="","",INDEX(ITT_Education_OP_A,MATCH("3.2",ITT_Education_OP_A,0))),"")</f>
        <v>3.2</v>
      </c>
      <c r="D37" s="60" t="str">
        <f>IFERROR(IF(INDEX(ITT_Education_OP_B,MATCH("3.2",ITT_Education_OP_A,0))="","",INDEX(ITT_Education_OP_B,MATCH("3.2",ITT_Education_OP_A,0))),"")</f>
        <v/>
      </c>
      <c r="E37" s="40" t="str">
        <f>IFERROR(IF(INDEX(ITT_Education_OP_E,MATCH("3.2",ITT_Education_OP_A,0))="","",INDEX(ITT_Education_OP_E,MATCH("3.2",ITT_Education_OP_A,0))),"")</f>
        <v/>
      </c>
      <c r="F37" s="40" t="str">
        <f>IFERROR(IF(INDEX(ITT_Education_OP_G,MATCH("3.2",ITT_Education_OP_A,0))="","",INDEX(ITT_Education_OP_G,MATCH("3.2",ITT_Education_OP_A,0))),"")</f>
        <v/>
      </c>
      <c r="G37" s="112" t="str">
        <f>IFERROR(IF(INDEX(ITT_Education_OP_J,MATCH("3.2",ITT_Education_OP_A,0))="","",INDEX(ITT_Education_OP_J,MATCH("3.2",ITT_Education_OP_A,0))),"")</f>
        <v/>
      </c>
      <c r="H37" s="112" t="str">
        <f>IFERROR(IF(INDEX(ITT_Education_OP_K,MATCH("3.2",ITT_Education_OP_A,0))="","",INDEX(ITT_Education_OP_K,MATCH("3.2",ITT_Education_OP_A,0))),"")</f>
        <v/>
      </c>
      <c r="I37" s="40"/>
      <c r="J37" s="40"/>
      <c r="K37" s="40"/>
      <c r="L37" s="40"/>
      <c r="M37" s="41" t="str">
        <f t="shared" ref="M37:M68" si="5">IF(OR(L37="",$G37="",$H37=""),"",IF($H37-$G37=0,"",(L37-$G37)/($H37-$G37)))</f>
        <v/>
      </c>
      <c r="N37" s="40"/>
      <c r="O37" s="40"/>
      <c r="P37" s="40"/>
      <c r="Q37" s="40"/>
      <c r="R37" s="40"/>
      <c r="S37" s="157" t="str">
        <f t="shared" ref="S37:S68" si="6">IF(OR(R37="",$G37="",$H37=""),"",IF($H37-$G37=0,"",(R37-$G37)/($H37-$G37)))</f>
        <v/>
      </c>
      <c r="T37" s="40"/>
      <c r="U37" s="40"/>
      <c r="V37" s="40"/>
      <c r="W37" s="40"/>
      <c r="X37" s="40"/>
      <c r="Y37" s="157" t="str">
        <f t="shared" ref="Y37:Y68" si="7">IF(OR(X37="",$G37="",$H37=""),"",IF($H37-$G37=0,"",(X37-$G37)/($H37-$G37)))</f>
        <v/>
      </c>
      <c r="Z37" s="40"/>
      <c r="AA37" s="40"/>
      <c r="AB37" s="40"/>
      <c r="AC37" s="40"/>
      <c r="AD37" s="40"/>
      <c r="AE37" s="157" t="str">
        <f t="shared" ref="AE37:AE68" si="8">IF(OR(AD37="",$G37="",$H37=""),"",IF($H37-$G37=0,"",(AD37-$G37)/($H37-$G37)))</f>
        <v/>
      </c>
      <c r="AF37" s="40"/>
      <c r="AG37" s="40"/>
      <c r="AH37" s="40"/>
      <c r="AI37" s="40"/>
      <c r="AJ37" s="40"/>
      <c r="AK37" s="157" t="str">
        <f t="shared" ref="AK37:AK68" si="9">IF(OR(AJ37="",$G37="",$H37=""),"",IF($H37-$G37=0,"",(AJ37-$G37)/($H37-$G37)))</f>
        <v/>
      </c>
      <c r="AL37" s="40"/>
    </row>
    <row r="38" spans="1:38">
      <c r="A38" s="190"/>
      <c r="B38" s="190"/>
      <c r="C38" s="112" t="str">
        <f>IFERROR(IF(INDEX(ITT_Education_OP_A,MATCH("3.3",ITT_Education_OP_A,0))="","",INDEX(ITT_Education_OP_A,MATCH("3.3",ITT_Education_OP_A,0))),"")</f>
        <v>3.3</v>
      </c>
      <c r="D38" s="60" t="str">
        <f>IFERROR(IF(INDEX(ITT_Education_OP_B,MATCH("3.3",ITT_Education_OP_A,0))="","",INDEX(ITT_Education_OP_B,MATCH("3.3",ITT_Education_OP_A,0))),"")</f>
        <v/>
      </c>
      <c r="E38" s="40" t="str">
        <f>IFERROR(IF(INDEX(ITT_Education_OP_E,MATCH("3.3",ITT_Education_OP_A,0))="","",INDEX(ITT_Education_OP_E,MATCH("3.3",ITT_Education_OP_A,0))),"")</f>
        <v/>
      </c>
      <c r="F38" s="40" t="str">
        <f>IFERROR(IF(INDEX(ITT_Education_OP_G,MATCH("3.3",ITT_Education_OP_A,0))="","",INDEX(ITT_Education_OP_G,MATCH("3.3",ITT_Education_OP_A,0))),"")</f>
        <v/>
      </c>
      <c r="G38" s="112" t="str">
        <f>IFERROR(IF(INDEX(ITT_Education_OP_J,MATCH("3.3",ITT_Education_OP_A,0))="","",INDEX(ITT_Education_OP_J,MATCH("3.3",ITT_Education_OP_A,0))),"")</f>
        <v/>
      </c>
      <c r="H38" s="112" t="str">
        <f>IFERROR(IF(INDEX(ITT_Education_OP_K,MATCH("3.3",ITT_Education_OP_A,0))="","",INDEX(ITT_Education_OP_K,MATCH("3.3",ITT_Education_OP_A,0))),"")</f>
        <v/>
      </c>
      <c r="I38" s="40"/>
      <c r="J38" s="40"/>
      <c r="K38" s="40"/>
      <c r="L38" s="40"/>
      <c r="M38" s="41" t="str">
        <f t="shared" si="5"/>
        <v/>
      </c>
      <c r="N38" s="40"/>
      <c r="O38" s="40"/>
      <c r="P38" s="40"/>
      <c r="Q38" s="40"/>
      <c r="R38" s="40"/>
      <c r="S38" s="157" t="str">
        <f t="shared" si="6"/>
        <v/>
      </c>
      <c r="T38" s="40"/>
      <c r="U38" s="40"/>
      <c r="V38" s="40"/>
      <c r="W38" s="40"/>
      <c r="X38" s="40"/>
      <c r="Y38" s="157" t="str">
        <f t="shared" si="7"/>
        <v/>
      </c>
      <c r="Z38" s="40"/>
      <c r="AA38" s="40"/>
      <c r="AB38" s="40"/>
      <c r="AC38" s="40"/>
      <c r="AD38" s="40"/>
      <c r="AE38" s="157" t="str">
        <f t="shared" si="8"/>
        <v/>
      </c>
      <c r="AF38" s="40"/>
      <c r="AG38" s="40"/>
      <c r="AH38" s="40"/>
      <c r="AI38" s="40"/>
      <c r="AJ38" s="40"/>
      <c r="AK38" s="157" t="str">
        <f t="shared" si="9"/>
        <v/>
      </c>
      <c r="AL38" s="40"/>
    </row>
    <row r="39" spans="1:38">
      <c r="A39" s="190"/>
      <c r="B39" s="190"/>
      <c r="C39" s="112" t="str">
        <f>IFERROR(IF(INDEX(ITT_Education_OP_A,MATCH("4.1",ITT_Education_OP_A,0))="","",INDEX(ITT_Education_OP_A,MATCH("4.1",ITT_Education_OP_A,0))),"")</f>
        <v>4.1</v>
      </c>
      <c r="D39" s="60" t="str">
        <f>IFERROR(IF(INDEX(ITT_Education_OP_B,MATCH("4.1",ITT_Education_OP_A,0))="","",INDEX(ITT_Education_OP_B,MATCH("4.1",ITT_Education_OP_A,0))),"")</f>
        <v/>
      </c>
      <c r="E39" s="40" t="str">
        <f>IFERROR(IF(INDEX(ITT_Education_OP_E,MATCH("4.1",ITT_Education_OP_A,0))="","",INDEX(ITT_Education_OP_E,MATCH("4.1",ITT_Education_OP_A,0))),"")</f>
        <v/>
      </c>
      <c r="F39" s="40" t="str">
        <f>IFERROR(IF(INDEX(ITT_Education_OP_G,MATCH("4.1",ITT_Education_OP_A,0))="","",INDEX(ITT_Education_OP_G,MATCH("4.1",ITT_Education_OP_A,0))),"")</f>
        <v/>
      </c>
      <c r="G39" s="112" t="str">
        <f>IFERROR(IF(INDEX(ITT_Education_OP_J,MATCH("4.1",ITT_Education_OP_A,0))="","",INDEX(ITT_Education_OP_J,MATCH("4.1",ITT_Education_OP_A,0))),"")</f>
        <v/>
      </c>
      <c r="H39" s="112" t="str">
        <f>IFERROR(IF(INDEX(ITT_Education_OP_K,MATCH("4.1",ITT_Education_OP_A,0))="","",INDEX(ITT_Education_OP_K,MATCH("4.1",ITT_Education_OP_A,0))),"")</f>
        <v/>
      </c>
      <c r="I39" s="40"/>
      <c r="J39" s="40"/>
      <c r="K39" s="40"/>
      <c r="L39" s="40"/>
      <c r="M39" s="41" t="str">
        <f t="shared" si="5"/>
        <v/>
      </c>
      <c r="N39" s="40"/>
      <c r="O39" s="40"/>
      <c r="P39" s="40"/>
      <c r="Q39" s="40"/>
      <c r="R39" s="40"/>
      <c r="S39" s="157" t="str">
        <f t="shared" si="6"/>
        <v/>
      </c>
      <c r="T39" s="40"/>
      <c r="U39" s="40"/>
      <c r="V39" s="40"/>
      <c r="W39" s="40"/>
      <c r="X39" s="40"/>
      <c r="Y39" s="157" t="str">
        <f t="shared" si="7"/>
        <v/>
      </c>
      <c r="Z39" s="40"/>
      <c r="AA39" s="40"/>
      <c r="AB39" s="40"/>
      <c r="AC39" s="40"/>
      <c r="AD39" s="40"/>
      <c r="AE39" s="157" t="str">
        <f t="shared" si="8"/>
        <v/>
      </c>
      <c r="AF39" s="40"/>
      <c r="AG39" s="40"/>
      <c r="AH39" s="40"/>
      <c r="AI39" s="40"/>
      <c r="AJ39" s="40"/>
      <c r="AK39" s="157" t="str">
        <f t="shared" si="9"/>
        <v/>
      </c>
      <c r="AL39" s="40"/>
    </row>
    <row r="40" spans="1:38">
      <c r="A40" s="190"/>
      <c r="B40" s="190"/>
      <c r="C40" s="112" t="str">
        <f>IFERROR(IF(INDEX(ITT_Education_OP_A,MATCH("4.2",ITT_Education_OP_A,0))="","",INDEX(ITT_Education_OP_A,MATCH("4.2",ITT_Education_OP_A,0))),"")</f>
        <v>4.2</v>
      </c>
      <c r="D40" s="60" t="str">
        <f>IFERROR(IF(INDEX(ITT_Education_OP_B,MATCH("4.2",ITT_Education_OP_A,0))="","",INDEX(ITT_Education_OP_B,MATCH("4.2",ITT_Education_OP_A,0))),"")</f>
        <v/>
      </c>
      <c r="E40" s="40" t="str">
        <f>IFERROR(IF(INDEX(ITT_Education_OP_E,MATCH("4.2",ITT_Education_OP_A,0))="","",INDEX(ITT_Education_OP_E,MATCH("4.2",ITT_Education_OP_A,0))),"")</f>
        <v/>
      </c>
      <c r="F40" s="40" t="str">
        <f>IFERROR(IF(INDEX(ITT_Education_OP_G,MATCH("4.2",ITT_Education_OP_A,0))="","",INDEX(ITT_Education_OP_G,MATCH("4.2",ITT_Education_OP_A,0))),"")</f>
        <v/>
      </c>
      <c r="G40" s="112" t="str">
        <f>IFERROR(IF(INDEX(ITT_Education_OP_J,MATCH("4.2",ITT_Education_OP_A,0))="","",INDEX(ITT_Education_OP_J,MATCH("4.2",ITT_Education_OP_A,0))),"")</f>
        <v/>
      </c>
      <c r="H40" s="112" t="str">
        <f>IFERROR(IF(INDEX(ITT_Education_OP_K,MATCH("4.2",ITT_Education_OP_A,0))="","",INDEX(ITT_Education_OP_K,MATCH("4.2",ITT_Education_OP_A,0))),"")</f>
        <v/>
      </c>
      <c r="I40" s="40"/>
      <c r="J40" s="40"/>
      <c r="K40" s="40"/>
      <c r="L40" s="40"/>
      <c r="M40" s="41" t="str">
        <f t="shared" si="5"/>
        <v/>
      </c>
      <c r="N40" s="40"/>
      <c r="O40" s="40"/>
      <c r="P40" s="40"/>
      <c r="Q40" s="40"/>
      <c r="R40" s="40"/>
      <c r="S40" s="157" t="str">
        <f t="shared" si="6"/>
        <v/>
      </c>
      <c r="T40" s="40"/>
      <c r="U40" s="40"/>
      <c r="V40" s="40"/>
      <c r="W40" s="40"/>
      <c r="X40" s="40"/>
      <c r="Y40" s="157" t="str">
        <f t="shared" si="7"/>
        <v/>
      </c>
      <c r="Z40" s="40"/>
      <c r="AA40" s="40"/>
      <c r="AB40" s="40"/>
      <c r="AC40" s="40"/>
      <c r="AD40" s="40"/>
      <c r="AE40" s="157" t="str">
        <f t="shared" si="8"/>
        <v/>
      </c>
      <c r="AF40" s="40"/>
      <c r="AG40" s="40"/>
      <c r="AH40" s="40"/>
      <c r="AI40" s="40"/>
      <c r="AJ40" s="40"/>
      <c r="AK40" s="157" t="str">
        <f t="shared" si="9"/>
        <v/>
      </c>
      <c r="AL40" s="40"/>
    </row>
    <row r="41" spans="1:38">
      <c r="A41" s="190"/>
      <c r="B41" s="190"/>
      <c r="C41" s="112" t="str">
        <f>IFERROR(IF(INDEX(ITT_Education_OP_A,MATCH("4.3",ITT_Education_OP_A,0))="","",INDEX(ITT_Education_OP_A,MATCH("4.3",ITT_Education_OP_A,0))),"")</f>
        <v>4.3</v>
      </c>
      <c r="D41" s="60" t="str">
        <f>IFERROR(IF(INDEX(ITT_Education_OP_B,MATCH("4.3",ITT_Education_OP_A,0))="","",INDEX(ITT_Education_OP_B,MATCH("4.3",ITT_Education_OP_A,0))),"")</f>
        <v/>
      </c>
      <c r="E41" s="40" t="str">
        <f>IFERROR(IF(INDEX(ITT_Education_OP_E,MATCH("4.3",ITT_Education_OP_A,0))="","",INDEX(ITT_Education_OP_E,MATCH("4.3",ITT_Education_OP_A,0))),"")</f>
        <v/>
      </c>
      <c r="F41" s="40" t="str">
        <f>IFERROR(IF(INDEX(ITT_Education_OP_G,MATCH("4.3",ITT_Education_OP_A,0))="","",INDEX(ITT_Education_OP_G,MATCH("4.3",ITT_Education_OP_A,0))),"")</f>
        <v/>
      </c>
      <c r="G41" s="112" t="str">
        <f>IFERROR(IF(INDEX(ITT_Education_OP_J,MATCH("4.3",ITT_Education_OP_A,0))="","",INDEX(ITT_Education_OP_J,MATCH("4.3",ITT_Education_OP_A,0))),"")</f>
        <v/>
      </c>
      <c r="H41" s="112" t="str">
        <f>IFERROR(IF(INDEX(ITT_Education_OP_K,MATCH("4.3",ITT_Education_OP_A,0))="","",INDEX(ITT_Education_OP_K,MATCH("4.3",ITT_Education_OP_A,0))),"")</f>
        <v/>
      </c>
      <c r="I41" s="40"/>
      <c r="J41" s="40"/>
      <c r="K41" s="40"/>
      <c r="L41" s="40"/>
      <c r="M41" s="41" t="str">
        <f t="shared" si="5"/>
        <v/>
      </c>
      <c r="N41" s="40"/>
      <c r="O41" s="40"/>
      <c r="P41" s="40"/>
      <c r="Q41" s="40"/>
      <c r="R41" s="40"/>
      <c r="S41" s="157" t="str">
        <f t="shared" si="6"/>
        <v/>
      </c>
      <c r="T41" s="40"/>
      <c r="U41" s="40"/>
      <c r="V41" s="40"/>
      <c r="W41" s="40"/>
      <c r="X41" s="40"/>
      <c r="Y41" s="157" t="str">
        <f t="shared" si="7"/>
        <v/>
      </c>
      <c r="Z41" s="40"/>
      <c r="AA41" s="40"/>
      <c r="AB41" s="40"/>
      <c r="AC41" s="40"/>
      <c r="AD41" s="40"/>
      <c r="AE41" s="157" t="str">
        <f t="shared" si="8"/>
        <v/>
      </c>
      <c r="AF41" s="40"/>
      <c r="AG41" s="40"/>
      <c r="AH41" s="40"/>
      <c r="AI41" s="40"/>
      <c r="AJ41" s="40"/>
      <c r="AK41" s="157" t="str">
        <f t="shared" si="9"/>
        <v/>
      </c>
      <c r="AL41" s="40"/>
    </row>
    <row r="42" spans="1:38">
      <c r="A42" s="190"/>
      <c r="B42" s="190"/>
      <c r="C42" s="112" t="str">
        <f>IFERROR(IF(INDEX(ITT_Education_OP_A,MATCH("5.1",ITT_Education_OP_A,0))="","",INDEX(ITT_Education_OP_A,MATCH("5.1",ITT_Education_OP_A,0))),"")</f>
        <v>5.1</v>
      </c>
      <c r="D42" s="60" t="str">
        <f>IFERROR(IF(INDEX(ITT_Education_OP_B,MATCH("5.1",ITT_Education_OP_A,0))="","",INDEX(ITT_Education_OP_B,MATCH("5.1",ITT_Education_OP_A,0))),"")</f>
        <v/>
      </c>
      <c r="E42" s="40" t="str">
        <f>IFERROR(IF(INDEX(ITT_Education_OP_E,MATCH("5.1",ITT_Education_OP_A,0))="","",INDEX(ITT_Education_OP_E,MATCH("5.1",ITT_Education_OP_A,0))),"")</f>
        <v/>
      </c>
      <c r="F42" s="40" t="str">
        <f>IFERROR(IF(INDEX(ITT_Education_OP_G,MATCH("5.1",ITT_Education_OP_A,0))="","",INDEX(ITT_Education_OP_G,MATCH("5.1",ITT_Education_OP_A,0))),"")</f>
        <v/>
      </c>
      <c r="G42" s="112" t="str">
        <f>IFERROR(IF(INDEX(ITT_Education_OP_J,MATCH("5.1",ITT_Education_OP_A,0))="","",INDEX(ITT_Education_OP_J,MATCH("5.1",ITT_Education_OP_A,0))),"")</f>
        <v/>
      </c>
      <c r="H42" s="112" t="str">
        <f>IFERROR(IF(INDEX(ITT_Education_OP_K,MATCH("5.1",ITT_Education_OP_A,0))="","",INDEX(ITT_Education_OP_K,MATCH("5.1",ITT_Education_OP_A,0))),"")</f>
        <v/>
      </c>
      <c r="I42" s="40"/>
      <c r="J42" s="40"/>
      <c r="K42" s="40"/>
      <c r="L42" s="40"/>
      <c r="M42" s="41" t="str">
        <f t="shared" si="5"/>
        <v/>
      </c>
      <c r="N42" s="40"/>
      <c r="O42" s="40"/>
      <c r="P42" s="40"/>
      <c r="Q42" s="40"/>
      <c r="R42" s="40"/>
      <c r="S42" s="157" t="str">
        <f t="shared" si="6"/>
        <v/>
      </c>
      <c r="T42" s="40"/>
      <c r="U42" s="40"/>
      <c r="V42" s="40"/>
      <c r="W42" s="40"/>
      <c r="X42" s="40"/>
      <c r="Y42" s="157" t="str">
        <f t="shared" si="7"/>
        <v/>
      </c>
      <c r="Z42" s="40"/>
      <c r="AA42" s="40"/>
      <c r="AB42" s="40"/>
      <c r="AC42" s="40"/>
      <c r="AD42" s="40"/>
      <c r="AE42" s="157" t="str">
        <f t="shared" si="8"/>
        <v/>
      </c>
      <c r="AF42" s="40"/>
      <c r="AG42" s="40"/>
      <c r="AH42" s="40"/>
      <c r="AI42" s="40"/>
      <c r="AJ42" s="40"/>
      <c r="AK42" s="157" t="str">
        <f t="shared" si="9"/>
        <v/>
      </c>
      <c r="AL42" s="40"/>
    </row>
    <row r="43" spans="1:38">
      <c r="A43" s="190"/>
      <c r="B43" s="190"/>
      <c r="C43" s="112" t="str">
        <f>IFERROR(IF(INDEX(ITT_Education_OP_A,MATCH("5.2",ITT_Education_OP_A,0))="","",INDEX(ITT_Education_OP_A,MATCH("5.2",ITT_Education_OP_A,0))),"")</f>
        <v>5.2</v>
      </c>
      <c r="D43" s="60" t="str">
        <f>IFERROR(IF(INDEX(ITT_Education_OP_B,MATCH("5.2",ITT_Education_OP_A,0))="","",INDEX(ITT_Education_OP_B,MATCH("5.2",ITT_Education_OP_A,0))),"")</f>
        <v/>
      </c>
      <c r="E43" s="40" t="str">
        <f>IFERROR(IF(INDEX(ITT_Education_OP_E,MATCH("5.2",ITT_Education_OP_A,0))="","",INDEX(ITT_Education_OP_E,MATCH("5.2",ITT_Education_OP_A,0))),"")</f>
        <v/>
      </c>
      <c r="F43" s="40" t="str">
        <f>IFERROR(IF(INDEX(ITT_Education_OP_G,MATCH("5.2",ITT_Education_OP_A,0))="","",INDEX(ITT_Education_OP_G,MATCH("5.2",ITT_Education_OP_A,0))),"")</f>
        <v/>
      </c>
      <c r="G43" s="112" t="str">
        <f>IFERROR(IF(INDEX(ITT_Education_OP_J,MATCH("5.2",ITT_Education_OP_A,0))="","",INDEX(ITT_Education_OP_J,MATCH("5.2",ITT_Education_OP_A,0))),"")</f>
        <v/>
      </c>
      <c r="H43" s="112" t="str">
        <f>IFERROR(IF(INDEX(ITT_Education_OP_K,MATCH("5.2",ITT_Education_OP_A,0))="","",INDEX(ITT_Education_OP_K,MATCH("5.2",ITT_Education_OP_A,0))),"")</f>
        <v/>
      </c>
      <c r="I43" s="40"/>
      <c r="J43" s="40"/>
      <c r="K43" s="40"/>
      <c r="L43" s="40"/>
      <c r="M43" s="41" t="str">
        <f t="shared" si="5"/>
        <v/>
      </c>
      <c r="N43" s="40"/>
      <c r="O43" s="40"/>
      <c r="P43" s="40"/>
      <c r="Q43" s="40"/>
      <c r="R43" s="40"/>
      <c r="S43" s="157" t="str">
        <f t="shared" si="6"/>
        <v/>
      </c>
      <c r="T43" s="40"/>
      <c r="U43" s="40"/>
      <c r="V43" s="40"/>
      <c r="W43" s="40"/>
      <c r="X43" s="40"/>
      <c r="Y43" s="157" t="str">
        <f t="shared" si="7"/>
        <v/>
      </c>
      <c r="Z43" s="40"/>
      <c r="AA43" s="40"/>
      <c r="AB43" s="40"/>
      <c r="AC43" s="40"/>
      <c r="AD43" s="40"/>
      <c r="AE43" s="157" t="str">
        <f t="shared" si="8"/>
        <v/>
      </c>
      <c r="AF43" s="40"/>
      <c r="AG43" s="40"/>
      <c r="AH43" s="40"/>
      <c r="AI43" s="40"/>
      <c r="AJ43" s="40"/>
      <c r="AK43" s="157" t="str">
        <f t="shared" si="9"/>
        <v/>
      </c>
      <c r="AL43" s="40"/>
    </row>
    <row r="44" spans="1:38">
      <c r="A44" s="194"/>
      <c r="B44" s="194"/>
      <c r="C44" s="112" t="str">
        <f>IFERROR(IF(INDEX(ITT_Education_OP_A,MATCH("5.3",ITT_Education_OP_A,0))="","",INDEX(ITT_Education_OP_A,MATCH("5.3",ITT_Education_OP_A,0))),"")</f>
        <v>5.3</v>
      </c>
      <c r="D44" s="60" t="str">
        <f>IFERROR(IF(INDEX(ITT_Education_OP_B,MATCH("5.3",ITT_Education_OP_A,0))="","",INDEX(ITT_Education_OP_B,MATCH("5.3",ITT_Education_OP_A,0))),"")</f>
        <v/>
      </c>
      <c r="E44" s="40" t="str">
        <f>IFERROR(IF(INDEX(ITT_Education_OP_E,MATCH("5.3",ITT_Education_OP_A,0))="","",INDEX(ITT_Education_OP_E,MATCH("5.3",ITT_Education_OP_A,0))),"")</f>
        <v/>
      </c>
      <c r="F44" s="40" t="str">
        <f>IFERROR(IF(INDEX(ITT_Education_OP_G,MATCH("5.3",ITT_Education_OP_A,0))="","",INDEX(ITT_Education_OP_G,MATCH("5.3",ITT_Education_OP_A,0))),"")</f>
        <v/>
      </c>
      <c r="G44" s="112" t="str">
        <f>IFERROR(IF(INDEX(ITT_Education_OP_J,MATCH("5.3",ITT_Education_OP_A,0))="","",INDEX(ITT_Education_OP_J,MATCH("5.3",ITT_Education_OP_A,0))),"")</f>
        <v/>
      </c>
      <c r="H44" s="112" t="str">
        <f>IFERROR(IF(INDEX(ITT_Education_OP_K,MATCH("5.3",ITT_Education_OP_A,0))="","",INDEX(ITT_Education_OP_K,MATCH("5.3",ITT_Education_OP_A,0))),"")</f>
        <v/>
      </c>
      <c r="I44" s="40"/>
      <c r="J44" s="40"/>
      <c r="K44" s="40"/>
      <c r="L44" s="40"/>
      <c r="M44" s="41" t="str">
        <f t="shared" si="5"/>
        <v/>
      </c>
      <c r="N44" s="40"/>
      <c r="O44" s="40"/>
      <c r="P44" s="40"/>
      <c r="Q44" s="40"/>
      <c r="R44" s="40"/>
      <c r="S44" s="157" t="str">
        <f t="shared" si="6"/>
        <v/>
      </c>
      <c r="T44" s="40"/>
      <c r="U44" s="40"/>
      <c r="V44" s="40"/>
      <c r="W44" s="40"/>
      <c r="X44" s="40"/>
      <c r="Y44" s="157" t="str">
        <f t="shared" si="7"/>
        <v/>
      </c>
      <c r="Z44" s="40"/>
      <c r="AA44" s="40"/>
      <c r="AB44" s="40"/>
      <c r="AC44" s="40"/>
      <c r="AD44" s="40"/>
      <c r="AE44" s="157" t="str">
        <f t="shared" si="8"/>
        <v/>
      </c>
      <c r="AF44" s="40"/>
      <c r="AG44" s="40"/>
      <c r="AH44" s="40"/>
      <c r="AI44" s="40"/>
      <c r="AJ44" s="40"/>
      <c r="AK44" s="157" t="str">
        <f t="shared" si="9"/>
        <v/>
      </c>
      <c r="AL44" s="40"/>
    </row>
    <row r="45" spans="1:38" ht="27" customHeight="1">
      <c r="A45" s="360" t="s">
        <v>288</v>
      </c>
      <c r="B45" s="361" t="s">
        <v>125</v>
      </c>
      <c r="C45" s="112" t="str">
        <f>IFERROR(IF(INDEX(ITT_HealthWellbeing_OC_A,MATCH("1",ITT_HealthWellbeing_OC_A,0))="","",INDEX(ITT_HealthWellbeing_OC_A,MATCH("1",ITT_HealthWellbeing_OC_A,0))),"")</f>
        <v>1</v>
      </c>
      <c r="D45" s="60" t="str">
        <f>IFERROR(IF(INDEX(ITT_HealthWellbeing_OC_B,MATCH("1",ITT_HealthWellbeing_OC_A,0))="","",INDEX(ITT_HealthWellbeing_OC_B,MATCH("1",ITT_HealthWellbeing_OC_A,0))),"")</f>
        <v/>
      </c>
      <c r="E45" s="40" t="str">
        <f>IFERROR(IF(INDEX(ITT_HealthWellbeing_OC_E,MATCH("1",ITT_HealthWellbeing_OC_A,0))="","",INDEX(ITT_HealthWellbeing_OC_E,MATCH("1",ITT_HealthWellbeing_OC_A,0))),"")</f>
        <v/>
      </c>
      <c r="F45" s="40" t="str">
        <f>IFERROR(IF(INDEX(ITT_HealthWellbeing_OC_G,MATCH("1",ITT_HealthWellbeing_OC_A,0))="","",INDEX(ITT_HealthWellbeing_OC_G,MATCH("1",ITT_HealthWellbeing_OC_A,0))),"")</f>
        <v/>
      </c>
      <c r="G45" s="112" t="str">
        <f>IFERROR(IF(INDEX(ITT_HealthWellbeing_OC_J,MATCH("1",ITT_HealthWellbeing_OC_A,0))="","",INDEX(ITT_HealthWellbeing_OC_J,MATCH("1",ITT_HealthWellbeing_OC_A,0))),"")</f>
        <v/>
      </c>
      <c r="H45" s="112" t="str">
        <f>IFERROR(IF(INDEX(ITT_HealthWellbeing_OC_K,MATCH("1",ITT_HealthWellbeing_OC_A,0))="","",INDEX(ITT_HealthWellbeing_OC_K,MATCH("1",ITT_HealthWellbeing_OC_A,0))),"")</f>
        <v/>
      </c>
      <c r="I45" s="40"/>
      <c r="J45" s="40"/>
      <c r="K45" s="40"/>
      <c r="L45" s="40"/>
      <c r="M45" s="41" t="str">
        <f t="shared" si="5"/>
        <v/>
      </c>
      <c r="N45" s="40"/>
      <c r="O45" s="40"/>
      <c r="P45" s="40"/>
      <c r="Q45" s="40"/>
      <c r="R45" s="40"/>
      <c r="S45" s="157" t="str">
        <f t="shared" si="6"/>
        <v/>
      </c>
      <c r="T45" s="40"/>
      <c r="U45" s="40"/>
      <c r="V45" s="40"/>
      <c r="W45" s="40"/>
      <c r="X45" s="40"/>
      <c r="Y45" s="157" t="str">
        <f t="shared" si="7"/>
        <v/>
      </c>
      <c r="Z45" s="40"/>
      <c r="AA45" s="40"/>
      <c r="AB45" s="40"/>
      <c r="AC45" s="40"/>
      <c r="AD45" s="40"/>
      <c r="AE45" s="157" t="str">
        <f t="shared" si="8"/>
        <v/>
      </c>
      <c r="AF45" s="40"/>
      <c r="AG45" s="40"/>
      <c r="AH45" s="40"/>
      <c r="AI45" s="40"/>
      <c r="AJ45" s="40"/>
      <c r="AK45" s="157" t="str">
        <f t="shared" si="9"/>
        <v/>
      </c>
      <c r="AL45" s="40"/>
    </row>
    <row r="46" spans="1:38" ht="27" customHeight="1">
      <c r="A46" s="190"/>
      <c r="B46" s="190"/>
      <c r="C46" s="112" t="str">
        <f>IFERROR(IF(INDEX(ITT_HealthWellbeing_OC_A,MATCH("2",ITT_HealthWellbeing_OC_A,0))="","",INDEX(ITT_HealthWellbeing_OC_A,MATCH("2",ITT_HealthWellbeing_OC_A,0))),"")</f>
        <v>2</v>
      </c>
      <c r="D46" s="60" t="str">
        <f>IFERROR(IF(INDEX(ITT_HealthWellbeing_OC_B,MATCH("2",ITT_HealthWellbeing_OC_A,0))="","",INDEX(ITT_HealthWellbeing_OC_B,MATCH("2",ITT_HealthWellbeing_OC_A,0))),"")</f>
        <v/>
      </c>
      <c r="E46" s="40" t="str">
        <f>IFERROR(IF(INDEX(ITT_HealthWellbeing_OC_E,MATCH("2",ITT_HealthWellbeing_OC_A,0))="","",INDEX(ITT_HealthWellbeing_OC_E,MATCH("2",ITT_HealthWellbeing_OC_A,0))),"")</f>
        <v/>
      </c>
      <c r="F46" s="40" t="str">
        <f>IFERROR(IF(INDEX(ITT_HealthWellbeing_OC_G,MATCH("2",ITT_HealthWellbeing_OC_A,0))="","",INDEX(ITT_HealthWellbeing_OC_G,MATCH("2",ITT_HealthWellbeing_OC_A,0))),"")</f>
        <v/>
      </c>
      <c r="G46" s="112" t="str">
        <f>IFERROR(IF(INDEX(ITT_HealthWellbeing_OC_J,MATCH("2",ITT_HealthWellbeing_OC_A,0))="","",INDEX(ITT_HealthWellbeing_OC_J,MATCH("2",ITT_HealthWellbeing_OC_A,0))),"")</f>
        <v/>
      </c>
      <c r="H46" s="112" t="str">
        <f>IFERROR(IF(INDEX(ITT_HealthWellbeing_OC_K,MATCH("2",ITT_HealthWellbeing_OC_A,0))="","",INDEX(ITT_HealthWellbeing_OC_K,MATCH("2",ITT_HealthWellbeing_OC_A,0))),"")</f>
        <v/>
      </c>
      <c r="I46" s="40"/>
      <c r="J46" s="40"/>
      <c r="K46" s="40"/>
      <c r="L46" s="40"/>
      <c r="M46" s="41" t="str">
        <f t="shared" si="5"/>
        <v/>
      </c>
      <c r="N46" s="40"/>
      <c r="O46" s="40"/>
      <c r="P46" s="40"/>
      <c r="Q46" s="40"/>
      <c r="R46" s="40"/>
      <c r="S46" s="157" t="str">
        <f t="shared" si="6"/>
        <v/>
      </c>
      <c r="T46" s="40"/>
      <c r="U46" s="40"/>
      <c r="V46" s="40"/>
      <c r="W46" s="40"/>
      <c r="X46" s="40"/>
      <c r="Y46" s="157" t="str">
        <f t="shared" si="7"/>
        <v/>
      </c>
      <c r="Z46" s="40"/>
      <c r="AA46" s="40"/>
      <c r="AB46" s="40"/>
      <c r="AC46" s="40"/>
      <c r="AD46" s="40"/>
      <c r="AE46" s="157" t="str">
        <f t="shared" si="8"/>
        <v/>
      </c>
      <c r="AF46" s="40"/>
      <c r="AG46" s="40"/>
      <c r="AH46" s="40"/>
      <c r="AI46" s="40"/>
      <c r="AJ46" s="40"/>
      <c r="AK46" s="157" t="str">
        <f t="shared" si="9"/>
        <v/>
      </c>
      <c r="AL46" s="40"/>
    </row>
    <row r="47" spans="1:38" ht="27" customHeight="1">
      <c r="A47" s="190"/>
      <c r="B47" s="190"/>
      <c r="C47" s="112" t="str">
        <f>IFERROR(IF(INDEX(ITT_HealthWellbeing_OC_A,MATCH("3",ITT_HealthWellbeing_OC_A,0))="","",INDEX(ITT_HealthWellbeing_OC_A,MATCH("3",ITT_HealthWellbeing_OC_A,0))),"")</f>
        <v>3</v>
      </c>
      <c r="D47" s="60" t="str">
        <f>IFERROR(IF(INDEX(ITT_HealthWellbeing_OC_B,MATCH("3",ITT_HealthWellbeing_OC_A,0))="","",INDEX(ITT_HealthWellbeing_OC_B,MATCH("3",ITT_HealthWellbeing_OC_A,0))),"")</f>
        <v/>
      </c>
      <c r="E47" s="40" t="str">
        <f>IFERROR(IF(INDEX(ITT_HealthWellbeing_OC_E,MATCH("3",ITT_HealthWellbeing_OC_A,0))="","",INDEX(ITT_HealthWellbeing_OC_E,MATCH("3",ITT_HealthWellbeing_OC_A,0))),"")</f>
        <v/>
      </c>
      <c r="F47" s="40" t="str">
        <f>IFERROR(IF(INDEX(ITT_HealthWellbeing_OC_G,MATCH("3",ITT_HealthWellbeing_OC_A,0))="","",INDEX(ITT_HealthWellbeing_OC_G,MATCH("3",ITT_HealthWellbeing_OC_A,0))),"")</f>
        <v/>
      </c>
      <c r="G47" s="112" t="str">
        <f>IFERROR(IF(INDEX(ITT_HealthWellbeing_OC_J,MATCH("3",ITT_HealthWellbeing_OC_A,0))="","",INDEX(ITT_HealthWellbeing_OC_J,MATCH("3",ITT_HealthWellbeing_OC_A,0))),"")</f>
        <v/>
      </c>
      <c r="H47" s="112" t="str">
        <f>IFERROR(IF(INDEX(ITT_HealthWellbeing_OC_K,MATCH("3",ITT_HealthWellbeing_OC_A,0))="","",INDEX(ITT_HealthWellbeing_OC_K,MATCH("3",ITT_HealthWellbeing_OC_A,0))),"")</f>
        <v/>
      </c>
      <c r="I47" s="40"/>
      <c r="J47" s="40"/>
      <c r="K47" s="40"/>
      <c r="L47" s="40"/>
      <c r="M47" s="41" t="str">
        <f t="shared" si="5"/>
        <v/>
      </c>
      <c r="N47" s="40"/>
      <c r="O47" s="40"/>
      <c r="P47" s="40"/>
      <c r="Q47" s="40"/>
      <c r="R47" s="40"/>
      <c r="S47" s="157" t="str">
        <f t="shared" si="6"/>
        <v/>
      </c>
      <c r="T47" s="40"/>
      <c r="U47" s="40"/>
      <c r="V47" s="40"/>
      <c r="W47" s="40"/>
      <c r="X47" s="40"/>
      <c r="Y47" s="157" t="str">
        <f t="shared" si="7"/>
        <v/>
      </c>
      <c r="Z47" s="40"/>
      <c r="AA47" s="40"/>
      <c r="AB47" s="40"/>
      <c r="AC47" s="40"/>
      <c r="AD47" s="40"/>
      <c r="AE47" s="157" t="str">
        <f t="shared" si="8"/>
        <v/>
      </c>
      <c r="AF47" s="40"/>
      <c r="AG47" s="40"/>
      <c r="AH47" s="40"/>
      <c r="AI47" s="40"/>
      <c r="AJ47" s="40"/>
      <c r="AK47" s="157" t="str">
        <f t="shared" si="9"/>
        <v/>
      </c>
      <c r="AL47" s="40"/>
    </row>
    <row r="48" spans="1:38" ht="27" customHeight="1">
      <c r="A48" s="190"/>
      <c r="B48" s="190"/>
      <c r="C48" s="112" t="str">
        <f>IFERROR(IF(INDEX(ITT_HealthWellbeing_OC_A,MATCH("4",ITT_HealthWellbeing_OC_A,0))="","",INDEX(ITT_HealthWellbeing_OC_A,MATCH("4",ITT_HealthWellbeing_OC_A,0))),"")</f>
        <v>4</v>
      </c>
      <c r="D48" s="60" t="str">
        <f>IFERROR(IF(INDEX(ITT_HealthWellbeing_OC_B,MATCH("4",ITT_HealthWellbeing_OC_A,0))="","",INDEX(ITT_HealthWellbeing_OC_B,MATCH("4",ITT_HealthWellbeing_OC_A,0))),"")</f>
        <v/>
      </c>
      <c r="E48" s="40" t="str">
        <f>IFERROR(IF(INDEX(ITT_HealthWellbeing_OC_E,MATCH("4",ITT_HealthWellbeing_OC_A,0))="","",INDEX(ITT_HealthWellbeing_OC_E,MATCH("4",ITT_HealthWellbeing_OC_A,0))),"")</f>
        <v/>
      </c>
      <c r="F48" s="40" t="str">
        <f>IFERROR(IF(INDEX(ITT_HealthWellbeing_OC_G,MATCH("4",ITT_HealthWellbeing_OC_A,0))="","",INDEX(ITT_HealthWellbeing_OC_G,MATCH("4",ITT_HealthWellbeing_OC_A,0))),"")</f>
        <v/>
      </c>
      <c r="G48" s="112" t="str">
        <f>IFERROR(IF(INDEX(ITT_HealthWellbeing_OC_J,MATCH("4",ITT_HealthWellbeing_OC_A,0))="","",INDEX(ITT_HealthWellbeing_OC_J,MATCH("4",ITT_HealthWellbeing_OC_A,0))),"")</f>
        <v/>
      </c>
      <c r="H48" s="112" t="str">
        <f>IFERROR(IF(INDEX(ITT_HealthWellbeing_OC_K,MATCH("4",ITT_HealthWellbeing_OC_A,0))="","",INDEX(ITT_HealthWellbeing_OC_K,MATCH("4",ITT_HealthWellbeing_OC_A,0))),"")</f>
        <v/>
      </c>
      <c r="I48" s="40"/>
      <c r="J48" s="40"/>
      <c r="K48" s="40"/>
      <c r="L48" s="40"/>
      <c r="M48" s="41" t="str">
        <f t="shared" si="5"/>
        <v/>
      </c>
      <c r="N48" s="40"/>
      <c r="O48" s="40"/>
      <c r="P48" s="40"/>
      <c r="Q48" s="40"/>
      <c r="R48" s="40"/>
      <c r="S48" s="157" t="str">
        <f t="shared" si="6"/>
        <v/>
      </c>
      <c r="T48" s="40"/>
      <c r="U48" s="40"/>
      <c r="V48" s="40"/>
      <c r="W48" s="40"/>
      <c r="X48" s="40"/>
      <c r="Y48" s="157" t="str">
        <f t="shared" si="7"/>
        <v/>
      </c>
      <c r="Z48" s="40"/>
      <c r="AA48" s="40"/>
      <c r="AB48" s="40"/>
      <c r="AC48" s="40"/>
      <c r="AD48" s="40"/>
      <c r="AE48" s="157" t="str">
        <f t="shared" si="8"/>
        <v/>
      </c>
      <c r="AF48" s="40"/>
      <c r="AG48" s="40"/>
      <c r="AH48" s="40"/>
      <c r="AI48" s="40"/>
      <c r="AJ48" s="40"/>
      <c r="AK48" s="157" t="str">
        <f t="shared" si="9"/>
        <v/>
      </c>
      <c r="AL48" s="40"/>
    </row>
    <row r="49" spans="1:38" ht="27" customHeight="1">
      <c r="A49" s="190"/>
      <c r="B49" s="194"/>
      <c r="C49" s="112" t="str">
        <f>IFERROR(IF(INDEX(ITT_HealthWellbeing_OC_A,MATCH("5",ITT_HealthWellbeing_OC_A,0))="","",INDEX(ITT_HealthWellbeing_OC_A,MATCH("5",ITT_HealthWellbeing_OC_A,0))),"")</f>
        <v>5</v>
      </c>
      <c r="D49" s="60" t="str">
        <f>IFERROR(IF(INDEX(ITT_HealthWellbeing_OC_B,MATCH("5",ITT_HealthWellbeing_OC_A,0))="","",INDEX(ITT_HealthWellbeing_OC_B,MATCH("5",ITT_HealthWellbeing_OC_A,0))),"")</f>
        <v/>
      </c>
      <c r="E49" s="40" t="str">
        <f>IFERROR(IF(INDEX(ITT_HealthWellbeing_OC_E,MATCH("5",ITT_HealthWellbeing_OC_A,0))="","",INDEX(ITT_HealthWellbeing_OC_E,MATCH("5",ITT_HealthWellbeing_OC_A,0))),"")</f>
        <v/>
      </c>
      <c r="F49" s="40" t="str">
        <f>IFERROR(IF(INDEX(ITT_HealthWellbeing_OC_G,MATCH("5",ITT_HealthWellbeing_OC_A,0))="","",INDEX(ITT_HealthWellbeing_OC_G,MATCH("5",ITT_HealthWellbeing_OC_A,0))),"")</f>
        <v/>
      </c>
      <c r="G49" s="112" t="str">
        <f>IFERROR(IF(INDEX(ITT_HealthWellbeing_OC_J,MATCH("5",ITT_HealthWellbeing_OC_A,0))="","",INDEX(ITT_HealthWellbeing_OC_J,MATCH("5",ITT_HealthWellbeing_OC_A,0))),"")</f>
        <v/>
      </c>
      <c r="H49" s="112" t="str">
        <f>IFERROR(IF(INDEX(ITT_HealthWellbeing_OC_K,MATCH("5",ITT_HealthWellbeing_OC_A,0))="","",INDEX(ITT_HealthWellbeing_OC_K,MATCH("5",ITT_HealthWellbeing_OC_A,0))),"")</f>
        <v/>
      </c>
      <c r="I49" s="40"/>
      <c r="J49" s="40"/>
      <c r="K49" s="40"/>
      <c r="L49" s="40"/>
      <c r="M49" s="41" t="str">
        <f t="shared" si="5"/>
        <v/>
      </c>
      <c r="N49" s="40"/>
      <c r="O49" s="40"/>
      <c r="P49" s="40"/>
      <c r="Q49" s="40"/>
      <c r="R49" s="40"/>
      <c r="S49" s="157" t="str">
        <f t="shared" si="6"/>
        <v/>
      </c>
      <c r="T49" s="40"/>
      <c r="U49" s="40"/>
      <c r="V49" s="40"/>
      <c r="W49" s="40"/>
      <c r="X49" s="40"/>
      <c r="Y49" s="157" t="str">
        <f t="shared" si="7"/>
        <v/>
      </c>
      <c r="Z49" s="40"/>
      <c r="AA49" s="40"/>
      <c r="AB49" s="40"/>
      <c r="AC49" s="40"/>
      <c r="AD49" s="40"/>
      <c r="AE49" s="157" t="str">
        <f t="shared" si="8"/>
        <v/>
      </c>
      <c r="AF49" s="40"/>
      <c r="AG49" s="40"/>
      <c r="AH49" s="40"/>
      <c r="AI49" s="40"/>
      <c r="AJ49" s="40"/>
      <c r="AK49" s="157" t="str">
        <f t="shared" si="9"/>
        <v/>
      </c>
      <c r="AL49" s="40"/>
    </row>
    <row r="50" spans="1:38" ht="27" customHeight="1">
      <c r="A50" s="190"/>
      <c r="B50" s="361" t="s">
        <v>131</v>
      </c>
      <c r="C50" s="112" t="str">
        <f>IFERROR(IF(INDEX(ITT_HealthWellbeing_OP_A,MATCH("1.1",ITT_HealthWellbeing_OP_A,0))="","",INDEX(ITT_HealthWellbeing_OP_A,MATCH("1.1",ITT_HealthWellbeing_OP_A,0))),"")</f>
        <v>1.1</v>
      </c>
      <c r="D50" s="60" t="str">
        <f>IFERROR(IF(INDEX(ITT_HealthWellbeing_OP_B,MATCH("1.1",ITT_HealthWellbeing_OP_A,0))="","",INDEX(ITT_HealthWellbeing_OP_B,MATCH("1.1",ITT_HealthWellbeing_OP_A,0))),"")</f>
        <v/>
      </c>
      <c r="E50" s="40" t="str">
        <f>IFERROR(IF(INDEX(ITT_HealthWellbeing_OP_E,MATCH("1.1",ITT_HealthWellbeing_OP_A,0))="","",INDEX(ITT_HealthWellbeing_OP_E,MATCH("1.1",ITT_HealthWellbeing_OP_A,0))),"")</f>
        <v/>
      </c>
      <c r="F50" s="40" t="str">
        <f>IFERROR(IF(INDEX(ITT_HealthWellbeing_OP_G,MATCH("1.1",ITT_HealthWellbeing_OP_A,0))="","",INDEX(ITT_HealthWellbeing_OP_G,MATCH("1.1",ITT_HealthWellbeing_OP_A,0))),"")</f>
        <v/>
      </c>
      <c r="G50" s="112" t="str">
        <f>IFERROR(IF(INDEX(ITT_HealthWellbeing_OP_J,MATCH("1.1",ITT_HealthWellbeing_OP_A,0))="","",INDEX(ITT_HealthWellbeing_OP_J,MATCH("1.1",ITT_HealthWellbeing_OP_A,0))),"")</f>
        <v/>
      </c>
      <c r="H50" s="112" t="str">
        <f>IFERROR(IF(INDEX(ITT_HealthWellbeing_OP_K,MATCH("1.1",ITT_HealthWellbeing_OP_A,0))="","",INDEX(ITT_HealthWellbeing_OP_K,MATCH("1.1",ITT_HealthWellbeing_OP_A,0))),"")</f>
        <v/>
      </c>
      <c r="I50" s="40"/>
      <c r="J50" s="40"/>
      <c r="K50" s="40"/>
      <c r="L50" s="40"/>
      <c r="M50" s="41" t="str">
        <f t="shared" si="5"/>
        <v/>
      </c>
      <c r="N50" s="40"/>
      <c r="O50" s="40"/>
      <c r="P50" s="40"/>
      <c r="Q50" s="40"/>
      <c r="R50" s="40"/>
      <c r="S50" s="157" t="str">
        <f t="shared" si="6"/>
        <v/>
      </c>
      <c r="T50" s="40"/>
      <c r="U50" s="40"/>
      <c r="V50" s="40"/>
      <c r="W50" s="40"/>
      <c r="X50" s="40"/>
      <c r="Y50" s="157" t="str">
        <f t="shared" si="7"/>
        <v/>
      </c>
      <c r="Z50" s="40"/>
      <c r="AA50" s="40"/>
      <c r="AB50" s="40"/>
      <c r="AC50" s="40"/>
      <c r="AD50" s="40"/>
      <c r="AE50" s="157" t="str">
        <f t="shared" si="8"/>
        <v/>
      </c>
      <c r="AF50" s="40"/>
      <c r="AG50" s="40"/>
      <c r="AH50" s="40"/>
      <c r="AI50" s="40"/>
      <c r="AJ50" s="40"/>
      <c r="AK50" s="157" t="str">
        <f t="shared" si="9"/>
        <v/>
      </c>
      <c r="AL50" s="40"/>
    </row>
    <row r="51" spans="1:38" ht="27" customHeight="1">
      <c r="A51" s="190"/>
      <c r="B51" s="190"/>
      <c r="C51" s="112" t="str">
        <f>IFERROR(IF(INDEX(ITT_HealthWellbeing_OP_A,MATCH("1.2",ITT_HealthWellbeing_OP_A,0))="","",INDEX(ITT_HealthWellbeing_OP_A,MATCH("1.2",ITT_HealthWellbeing_OP_A,0))),"")</f>
        <v>1.2</v>
      </c>
      <c r="D51" s="60" t="str">
        <f>IFERROR(IF(INDEX(ITT_HealthWellbeing_OP_B,MATCH("1.2",ITT_HealthWellbeing_OP_A,0))="","",INDEX(ITT_HealthWellbeing_OP_B,MATCH("1.2",ITT_HealthWellbeing_OP_A,0))),"")</f>
        <v/>
      </c>
      <c r="E51" s="40" t="str">
        <f>IFERROR(IF(INDEX(ITT_HealthWellbeing_OP_E,MATCH("1.2",ITT_HealthWellbeing_OP_A,0))="","",INDEX(ITT_HealthWellbeing_OP_E,MATCH("1.2",ITT_HealthWellbeing_OP_A,0))),"")</f>
        <v/>
      </c>
      <c r="F51" s="40" t="str">
        <f>IFERROR(IF(INDEX(ITT_HealthWellbeing_OP_G,MATCH("1.2",ITT_HealthWellbeing_OP_A,0))="","",INDEX(ITT_HealthWellbeing_OP_G,MATCH("1.2",ITT_HealthWellbeing_OP_A,0))),"")</f>
        <v/>
      </c>
      <c r="G51" s="112" t="str">
        <f>IFERROR(IF(INDEX(ITT_HealthWellbeing_OP_J,MATCH("1.2",ITT_HealthWellbeing_OP_A,0))="","",INDEX(ITT_HealthWellbeing_OP_J,MATCH("1.2",ITT_HealthWellbeing_OP_A,0))),"")</f>
        <v/>
      </c>
      <c r="H51" s="112" t="str">
        <f>IFERROR(IF(INDEX(ITT_HealthWellbeing_OP_K,MATCH("1.2",ITT_HealthWellbeing_OP_A,0))="","",INDEX(ITT_HealthWellbeing_OP_K,MATCH("1.2",ITT_HealthWellbeing_OP_A,0))),"")</f>
        <v/>
      </c>
      <c r="I51" s="40"/>
      <c r="J51" s="40"/>
      <c r="K51" s="40"/>
      <c r="L51" s="40"/>
      <c r="M51" s="41" t="str">
        <f t="shared" si="5"/>
        <v/>
      </c>
      <c r="N51" s="40"/>
      <c r="O51" s="40"/>
      <c r="P51" s="40"/>
      <c r="Q51" s="40"/>
      <c r="R51" s="40"/>
      <c r="S51" s="157" t="str">
        <f t="shared" si="6"/>
        <v/>
      </c>
      <c r="T51" s="40"/>
      <c r="U51" s="40"/>
      <c r="V51" s="40"/>
      <c r="W51" s="40"/>
      <c r="X51" s="40"/>
      <c r="Y51" s="157" t="str">
        <f t="shared" si="7"/>
        <v/>
      </c>
      <c r="Z51" s="40"/>
      <c r="AA51" s="40"/>
      <c r="AB51" s="40"/>
      <c r="AC51" s="40"/>
      <c r="AD51" s="40"/>
      <c r="AE51" s="157" t="str">
        <f t="shared" si="8"/>
        <v/>
      </c>
      <c r="AF51" s="40"/>
      <c r="AG51" s="40"/>
      <c r="AH51" s="40"/>
      <c r="AI51" s="40"/>
      <c r="AJ51" s="40"/>
      <c r="AK51" s="157" t="str">
        <f t="shared" si="9"/>
        <v/>
      </c>
      <c r="AL51" s="40"/>
    </row>
    <row r="52" spans="1:38" ht="27" customHeight="1">
      <c r="A52" s="190"/>
      <c r="B52" s="190"/>
      <c r="C52" s="112" t="str">
        <f>IFERROR(IF(INDEX(ITT_HealthWellbeing_OP_A,MATCH("1.3",ITT_HealthWellbeing_OP_A,0))="","",INDEX(ITT_HealthWellbeing_OP_A,MATCH("1.3",ITT_HealthWellbeing_OP_A,0))),"")</f>
        <v>1.3</v>
      </c>
      <c r="D52" s="60" t="str">
        <f>IFERROR(IF(INDEX(ITT_HealthWellbeing_OP_B,MATCH("1.3",ITT_HealthWellbeing_OP_A,0))="","",INDEX(ITT_HealthWellbeing_OP_B,MATCH("1.3",ITT_HealthWellbeing_OP_A,0))),"")</f>
        <v/>
      </c>
      <c r="E52" s="40" t="str">
        <f>IFERROR(IF(INDEX(ITT_HealthWellbeing_OP_E,MATCH("1.3",ITT_HealthWellbeing_OP_A,0))="","",INDEX(ITT_HealthWellbeing_OP_E,MATCH("1.3",ITT_HealthWellbeing_OP_A,0))),"")</f>
        <v/>
      </c>
      <c r="F52" s="40" t="str">
        <f>IFERROR(IF(INDEX(ITT_HealthWellbeing_OP_G,MATCH("1.3",ITT_HealthWellbeing_OP_A,0))="","",INDEX(ITT_HealthWellbeing_OP_G,MATCH("1.3",ITT_HealthWellbeing_OP_A,0))),"")</f>
        <v/>
      </c>
      <c r="G52" s="112" t="str">
        <f>IFERROR(IF(INDEX(ITT_HealthWellbeing_OP_J,MATCH("1.3",ITT_HealthWellbeing_OP_A,0))="","",INDEX(ITT_HealthWellbeing_OP_J,MATCH("1.3",ITT_HealthWellbeing_OP_A,0))),"")</f>
        <v/>
      </c>
      <c r="H52" s="112" t="str">
        <f>IFERROR(IF(INDEX(ITT_HealthWellbeing_OP_K,MATCH("1.3",ITT_HealthWellbeing_OP_A,0))="","",INDEX(ITT_HealthWellbeing_OP_K,MATCH("1.3",ITT_HealthWellbeing_OP_A,0))),"")</f>
        <v/>
      </c>
      <c r="I52" s="40"/>
      <c r="J52" s="40"/>
      <c r="K52" s="40"/>
      <c r="L52" s="40"/>
      <c r="M52" s="41" t="str">
        <f t="shared" si="5"/>
        <v/>
      </c>
      <c r="N52" s="40"/>
      <c r="O52" s="40"/>
      <c r="P52" s="40"/>
      <c r="Q52" s="40"/>
      <c r="R52" s="40"/>
      <c r="S52" s="157" t="str">
        <f t="shared" si="6"/>
        <v/>
      </c>
      <c r="T52" s="40"/>
      <c r="U52" s="40"/>
      <c r="V52" s="40"/>
      <c r="W52" s="40"/>
      <c r="X52" s="40"/>
      <c r="Y52" s="157" t="str">
        <f t="shared" si="7"/>
        <v/>
      </c>
      <c r="Z52" s="40"/>
      <c r="AA52" s="40"/>
      <c r="AB52" s="40"/>
      <c r="AC52" s="40"/>
      <c r="AD52" s="40"/>
      <c r="AE52" s="157" t="str">
        <f t="shared" si="8"/>
        <v/>
      </c>
      <c r="AF52" s="40"/>
      <c r="AG52" s="40"/>
      <c r="AH52" s="40"/>
      <c r="AI52" s="40"/>
      <c r="AJ52" s="40"/>
      <c r="AK52" s="157" t="str">
        <f t="shared" si="9"/>
        <v/>
      </c>
      <c r="AL52" s="40"/>
    </row>
    <row r="53" spans="1:38" ht="27" customHeight="1">
      <c r="A53" s="190"/>
      <c r="B53" s="190"/>
      <c r="C53" s="112" t="str">
        <f>IFERROR(IF(INDEX(ITT_HealthWellbeing_OP_A,MATCH("2.1",ITT_HealthWellbeing_OP_A,0))="","",INDEX(ITT_HealthWellbeing_OP_A,MATCH("2.1",ITT_HealthWellbeing_OP_A,0))),"")</f>
        <v>2.1</v>
      </c>
      <c r="D53" s="60" t="str">
        <f>IFERROR(IF(INDEX(ITT_HealthWellbeing_OP_B,MATCH("2.1",ITT_HealthWellbeing_OP_A,0))="","",INDEX(ITT_HealthWellbeing_OP_B,MATCH("2.1",ITT_HealthWellbeing_OP_A,0))),"")</f>
        <v/>
      </c>
      <c r="E53" s="40" t="str">
        <f>IFERROR(IF(INDEX(ITT_HealthWellbeing_OP_E,MATCH("2.1",ITT_HealthWellbeing_OP_A,0))="","",INDEX(ITT_HealthWellbeing_OP_E,MATCH("2.1",ITT_HealthWellbeing_OP_A,0))),"")</f>
        <v/>
      </c>
      <c r="F53" s="40" t="str">
        <f>IFERROR(IF(INDEX(ITT_HealthWellbeing_OP_G,MATCH("2.1",ITT_HealthWellbeing_OP_A,0))="","",INDEX(ITT_HealthWellbeing_OP_G,MATCH("2.1",ITT_HealthWellbeing_OP_A,0))),"")</f>
        <v/>
      </c>
      <c r="G53" s="112" t="str">
        <f>IFERROR(IF(INDEX(ITT_HealthWellbeing_OP_J,MATCH("2.1",ITT_HealthWellbeing_OP_A,0))="","",INDEX(ITT_HealthWellbeing_OP_J,MATCH("2.1",ITT_HealthWellbeing_OP_A,0))),"")</f>
        <v/>
      </c>
      <c r="H53" s="112" t="str">
        <f>IFERROR(IF(INDEX(ITT_HealthWellbeing_OP_K,MATCH("2.1",ITT_HealthWellbeing_OP_A,0))="","",INDEX(ITT_HealthWellbeing_OP_K,MATCH("2.1",ITT_HealthWellbeing_OP_A,0))),"")</f>
        <v/>
      </c>
      <c r="I53" s="40"/>
      <c r="J53" s="40"/>
      <c r="K53" s="40"/>
      <c r="L53" s="40"/>
      <c r="M53" s="41" t="str">
        <f t="shared" si="5"/>
        <v/>
      </c>
      <c r="N53" s="40"/>
      <c r="O53" s="40"/>
      <c r="P53" s="40"/>
      <c r="Q53" s="40"/>
      <c r="R53" s="40"/>
      <c r="S53" s="157" t="str">
        <f t="shared" si="6"/>
        <v/>
      </c>
      <c r="T53" s="40"/>
      <c r="U53" s="40"/>
      <c r="V53" s="40"/>
      <c r="W53" s="40"/>
      <c r="X53" s="40"/>
      <c r="Y53" s="157" t="str">
        <f t="shared" si="7"/>
        <v/>
      </c>
      <c r="Z53" s="40"/>
      <c r="AA53" s="40"/>
      <c r="AB53" s="40"/>
      <c r="AC53" s="40"/>
      <c r="AD53" s="40"/>
      <c r="AE53" s="157" t="str">
        <f t="shared" si="8"/>
        <v/>
      </c>
      <c r="AF53" s="40"/>
      <c r="AG53" s="40"/>
      <c r="AH53" s="40"/>
      <c r="AI53" s="40"/>
      <c r="AJ53" s="40"/>
      <c r="AK53" s="157" t="str">
        <f t="shared" si="9"/>
        <v/>
      </c>
      <c r="AL53" s="40"/>
    </row>
    <row r="54" spans="1:38" ht="27" customHeight="1">
      <c r="A54" s="190"/>
      <c r="B54" s="190"/>
      <c r="C54" s="112" t="str">
        <f>IFERROR(IF(INDEX(ITT_HealthWellbeing_OP_A,MATCH("2.2",ITT_HealthWellbeing_OP_A,0))="","",INDEX(ITT_HealthWellbeing_OP_A,MATCH("2.2",ITT_HealthWellbeing_OP_A,0))),"")</f>
        <v>2.2</v>
      </c>
      <c r="D54" s="60" t="str">
        <f>IFERROR(IF(INDEX(ITT_HealthWellbeing_OP_B,MATCH("2.2",ITT_HealthWellbeing_OP_A,0))="","",INDEX(ITT_HealthWellbeing_OP_B,MATCH("2.2",ITT_HealthWellbeing_OP_A,0))),"")</f>
        <v/>
      </c>
      <c r="E54" s="40" t="str">
        <f>IFERROR(IF(INDEX(ITT_HealthWellbeing_OP_E,MATCH("2.2",ITT_HealthWellbeing_OP_A,0))="","",INDEX(ITT_HealthWellbeing_OP_E,MATCH("2.2",ITT_HealthWellbeing_OP_A,0))),"")</f>
        <v/>
      </c>
      <c r="F54" s="40" t="str">
        <f>IFERROR(IF(INDEX(ITT_HealthWellbeing_OP_G,MATCH("2.2",ITT_HealthWellbeing_OP_A,0))="","",INDEX(ITT_HealthWellbeing_OP_G,MATCH("2.2",ITT_HealthWellbeing_OP_A,0))),"")</f>
        <v/>
      </c>
      <c r="G54" s="112" t="str">
        <f>IFERROR(IF(INDEX(ITT_HealthWellbeing_OP_J,MATCH("2.2",ITT_HealthWellbeing_OP_A,0))="","",INDEX(ITT_HealthWellbeing_OP_J,MATCH("2.2",ITT_HealthWellbeing_OP_A,0))),"")</f>
        <v/>
      </c>
      <c r="H54" s="112" t="str">
        <f>IFERROR(IF(INDEX(ITT_HealthWellbeing_OP_K,MATCH("2.2",ITT_HealthWellbeing_OP_A,0))="","",INDEX(ITT_HealthWellbeing_OP_K,MATCH("2.2",ITT_HealthWellbeing_OP_A,0))),"")</f>
        <v/>
      </c>
      <c r="I54" s="40"/>
      <c r="J54" s="40"/>
      <c r="K54" s="40"/>
      <c r="L54" s="40"/>
      <c r="M54" s="41" t="str">
        <f t="shared" si="5"/>
        <v/>
      </c>
      <c r="N54" s="40"/>
      <c r="O54" s="40"/>
      <c r="P54" s="40"/>
      <c r="Q54" s="40"/>
      <c r="R54" s="40"/>
      <c r="S54" s="157" t="str">
        <f t="shared" si="6"/>
        <v/>
      </c>
      <c r="T54" s="40"/>
      <c r="U54" s="40"/>
      <c r="V54" s="40"/>
      <c r="W54" s="40"/>
      <c r="X54" s="40"/>
      <c r="Y54" s="157" t="str">
        <f t="shared" si="7"/>
        <v/>
      </c>
      <c r="Z54" s="40"/>
      <c r="AA54" s="40"/>
      <c r="AB54" s="40"/>
      <c r="AC54" s="40"/>
      <c r="AD54" s="40"/>
      <c r="AE54" s="157" t="str">
        <f t="shared" si="8"/>
        <v/>
      </c>
      <c r="AF54" s="40"/>
      <c r="AG54" s="40"/>
      <c r="AH54" s="40"/>
      <c r="AI54" s="40"/>
      <c r="AJ54" s="40"/>
      <c r="AK54" s="157" t="str">
        <f t="shared" si="9"/>
        <v/>
      </c>
      <c r="AL54" s="40"/>
    </row>
    <row r="55" spans="1:38" ht="27" customHeight="1">
      <c r="A55" s="190"/>
      <c r="B55" s="190"/>
      <c r="C55" s="112" t="str">
        <f>IFERROR(IF(INDEX(ITT_HealthWellbeing_OP_A,MATCH("2.3",ITT_HealthWellbeing_OP_A,0))="","",INDEX(ITT_HealthWellbeing_OP_A,MATCH("2.3",ITT_HealthWellbeing_OP_A,0))),"")</f>
        <v>2.3</v>
      </c>
      <c r="D55" s="60" t="str">
        <f>IFERROR(IF(INDEX(ITT_HealthWellbeing_OP_B,MATCH("2.3",ITT_HealthWellbeing_OP_A,0))="","",INDEX(ITT_HealthWellbeing_OP_B,MATCH("2.3",ITT_HealthWellbeing_OP_A,0))),"")</f>
        <v/>
      </c>
      <c r="E55" s="40" t="str">
        <f>IFERROR(IF(INDEX(ITT_HealthWellbeing_OP_E,MATCH("2.3",ITT_HealthWellbeing_OP_A,0))="","",INDEX(ITT_HealthWellbeing_OP_E,MATCH("2.3",ITT_HealthWellbeing_OP_A,0))),"")</f>
        <v/>
      </c>
      <c r="F55" s="40" t="str">
        <f>IFERROR(IF(INDEX(ITT_HealthWellbeing_OP_G,MATCH("2.3",ITT_HealthWellbeing_OP_A,0))="","",INDEX(ITT_HealthWellbeing_OP_G,MATCH("2.3",ITT_HealthWellbeing_OP_A,0))),"")</f>
        <v/>
      </c>
      <c r="G55" s="112" t="str">
        <f>IFERROR(IF(INDEX(ITT_HealthWellbeing_OP_J,MATCH("2.3",ITT_HealthWellbeing_OP_A,0))="","",INDEX(ITT_HealthWellbeing_OP_J,MATCH("2.3",ITT_HealthWellbeing_OP_A,0))),"")</f>
        <v/>
      </c>
      <c r="H55" s="112" t="str">
        <f>IFERROR(IF(INDEX(ITT_HealthWellbeing_OP_K,MATCH("2.3",ITT_HealthWellbeing_OP_A,0))="","",INDEX(ITT_HealthWellbeing_OP_K,MATCH("2.3",ITT_HealthWellbeing_OP_A,0))),"")</f>
        <v/>
      </c>
      <c r="I55" s="40"/>
      <c r="J55" s="40"/>
      <c r="K55" s="40"/>
      <c r="L55" s="40"/>
      <c r="M55" s="41" t="str">
        <f t="shared" si="5"/>
        <v/>
      </c>
      <c r="N55" s="40"/>
      <c r="O55" s="40"/>
      <c r="P55" s="40"/>
      <c r="Q55" s="40"/>
      <c r="R55" s="40"/>
      <c r="S55" s="157" t="str">
        <f t="shared" si="6"/>
        <v/>
      </c>
      <c r="T55" s="40"/>
      <c r="U55" s="40"/>
      <c r="V55" s="40"/>
      <c r="W55" s="40"/>
      <c r="X55" s="40"/>
      <c r="Y55" s="157" t="str">
        <f t="shared" si="7"/>
        <v/>
      </c>
      <c r="Z55" s="40"/>
      <c r="AA55" s="40"/>
      <c r="AB55" s="40"/>
      <c r="AC55" s="40"/>
      <c r="AD55" s="40"/>
      <c r="AE55" s="157" t="str">
        <f t="shared" si="8"/>
        <v/>
      </c>
      <c r="AF55" s="40"/>
      <c r="AG55" s="40"/>
      <c r="AH55" s="40"/>
      <c r="AI55" s="40"/>
      <c r="AJ55" s="40"/>
      <c r="AK55" s="157" t="str">
        <f t="shared" si="9"/>
        <v/>
      </c>
      <c r="AL55" s="40"/>
    </row>
    <row r="56" spans="1:38" ht="27" customHeight="1">
      <c r="A56" s="190"/>
      <c r="B56" s="190"/>
      <c r="C56" s="112" t="str">
        <f>IFERROR(IF(INDEX(ITT_HealthWellbeing_OP_A,MATCH("3.1",ITT_HealthWellbeing_OP_A,0))="","",INDEX(ITT_HealthWellbeing_OP_A,MATCH("3.1",ITT_HealthWellbeing_OP_A,0))),"")</f>
        <v>3.1</v>
      </c>
      <c r="D56" s="60" t="str">
        <f>IFERROR(IF(INDEX(ITT_HealthWellbeing_OP_B,MATCH("3.1",ITT_HealthWellbeing_OP_A,0))="","",INDEX(ITT_HealthWellbeing_OP_B,MATCH("3.1",ITT_HealthWellbeing_OP_A,0))),"")</f>
        <v/>
      </c>
      <c r="E56" s="40" t="str">
        <f>IFERROR(IF(INDEX(ITT_HealthWellbeing_OP_E,MATCH("3.1",ITT_HealthWellbeing_OP_A,0))="","",INDEX(ITT_HealthWellbeing_OP_E,MATCH("3.1",ITT_HealthWellbeing_OP_A,0))),"")</f>
        <v/>
      </c>
      <c r="F56" s="40" t="str">
        <f>IFERROR(IF(INDEX(ITT_HealthWellbeing_OP_G,MATCH("3.1",ITT_HealthWellbeing_OP_A,0))="","",INDEX(ITT_HealthWellbeing_OP_G,MATCH("3.1",ITT_HealthWellbeing_OP_A,0))),"")</f>
        <v/>
      </c>
      <c r="G56" s="112" t="str">
        <f>IFERROR(IF(INDEX(ITT_HealthWellbeing_OP_J,MATCH("3.1",ITT_HealthWellbeing_OP_A,0))="","",INDEX(ITT_HealthWellbeing_OP_J,MATCH("3.1",ITT_HealthWellbeing_OP_A,0))),"")</f>
        <v/>
      </c>
      <c r="H56" s="112" t="str">
        <f>IFERROR(IF(INDEX(ITT_HealthWellbeing_OP_K,MATCH("3.1",ITT_HealthWellbeing_OP_A,0))="","",INDEX(ITT_HealthWellbeing_OP_K,MATCH("3.1",ITT_HealthWellbeing_OP_A,0))),"")</f>
        <v/>
      </c>
      <c r="I56" s="40"/>
      <c r="J56" s="40"/>
      <c r="K56" s="40"/>
      <c r="L56" s="40"/>
      <c r="M56" s="41" t="str">
        <f t="shared" si="5"/>
        <v/>
      </c>
      <c r="N56" s="40"/>
      <c r="O56" s="40"/>
      <c r="P56" s="40"/>
      <c r="Q56" s="40"/>
      <c r="R56" s="40"/>
      <c r="S56" s="157" t="str">
        <f t="shared" si="6"/>
        <v/>
      </c>
      <c r="T56" s="40"/>
      <c r="U56" s="40"/>
      <c r="V56" s="40"/>
      <c r="W56" s="40"/>
      <c r="X56" s="40"/>
      <c r="Y56" s="157" t="str">
        <f t="shared" si="7"/>
        <v/>
      </c>
      <c r="Z56" s="40"/>
      <c r="AA56" s="40"/>
      <c r="AB56" s="40"/>
      <c r="AC56" s="40"/>
      <c r="AD56" s="40"/>
      <c r="AE56" s="157" t="str">
        <f t="shared" si="8"/>
        <v/>
      </c>
      <c r="AF56" s="40"/>
      <c r="AG56" s="40"/>
      <c r="AH56" s="40"/>
      <c r="AI56" s="40"/>
      <c r="AJ56" s="40"/>
      <c r="AK56" s="157" t="str">
        <f t="shared" si="9"/>
        <v/>
      </c>
      <c r="AL56" s="40"/>
    </row>
    <row r="57" spans="1:38" ht="27" customHeight="1">
      <c r="A57" s="190"/>
      <c r="B57" s="190"/>
      <c r="C57" s="112" t="str">
        <f>IFERROR(IF(INDEX(ITT_HealthWellbeing_OP_A,MATCH("3.2",ITT_HealthWellbeing_OP_A,0))="","",INDEX(ITT_HealthWellbeing_OP_A,MATCH("3.2",ITT_HealthWellbeing_OP_A,0))),"")</f>
        <v>3.2</v>
      </c>
      <c r="D57" s="60" t="str">
        <f>IFERROR(IF(INDEX(ITT_HealthWellbeing_OP_B,MATCH("3.2",ITT_HealthWellbeing_OP_A,0))="","",INDEX(ITT_HealthWellbeing_OP_B,MATCH("3.2",ITT_HealthWellbeing_OP_A,0))),"")</f>
        <v/>
      </c>
      <c r="E57" s="40" t="str">
        <f>IFERROR(IF(INDEX(ITT_HealthWellbeing_OP_E,MATCH("3.2",ITT_HealthWellbeing_OP_A,0))="","",INDEX(ITT_HealthWellbeing_OP_E,MATCH("3.2",ITT_HealthWellbeing_OP_A,0))),"")</f>
        <v/>
      </c>
      <c r="F57" s="40" t="str">
        <f>IFERROR(IF(INDEX(ITT_HealthWellbeing_OP_G,MATCH("3.2",ITT_HealthWellbeing_OP_A,0))="","",INDEX(ITT_HealthWellbeing_OP_G,MATCH("3.2",ITT_HealthWellbeing_OP_A,0))),"")</f>
        <v/>
      </c>
      <c r="G57" s="112" t="str">
        <f>IFERROR(IF(INDEX(ITT_HealthWellbeing_OP_J,MATCH("3.2",ITT_HealthWellbeing_OP_A,0))="","",INDEX(ITT_HealthWellbeing_OP_J,MATCH("3.2",ITT_HealthWellbeing_OP_A,0))),"")</f>
        <v/>
      </c>
      <c r="H57" s="112" t="str">
        <f>IFERROR(IF(INDEX(ITT_HealthWellbeing_OP_K,MATCH("3.2",ITT_HealthWellbeing_OP_A,0))="","",INDEX(ITT_HealthWellbeing_OP_K,MATCH("3.2",ITT_HealthWellbeing_OP_A,0))),"")</f>
        <v/>
      </c>
      <c r="I57" s="40"/>
      <c r="J57" s="40"/>
      <c r="K57" s="40"/>
      <c r="L57" s="40"/>
      <c r="M57" s="41" t="str">
        <f t="shared" si="5"/>
        <v/>
      </c>
      <c r="N57" s="40"/>
      <c r="O57" s="40"/>
      <c r="P57" s="40"/>
      <c r="Q57" s="40"/>
      <c r="R57" s="40"/>
      <c r="S57" s="157" t="str">
        <f t="shared" si="6"/>
        <v/>
      </c>
      <c r="T57" s="40"/>
      <c r="U57" s="40"/>
      <c r="V57" s="40"/>
      <c r="W57" s="40"/>
      <c r="X57" s="40"/>
      <c r="Y57" s="157" t="str">
        <f t="shared" si="7"/>
        <v/>
      </c>
      <c r="Z57" s="40"/>
      <c r="AA57" s="40"/>
      <c r="AB57" s="40"/>
      <c r="AC57" s="40"/>
      <c r="AD57" s="40"/>
      <c r="AE57" s="157" t="str">
        <f t="shared" si="8"/>
        <v/>
      </c>
      <c r="AF57" s="40"/>
      <c r="AG57" s="40"/>
      <c r="AH57" s="40"/>
      <c r="AI57" s="40"/>
      <c r="AJ57" s="40"/>
      <c r="AK57" s="157" t="str">
        <f t="shared" si="9"/>
        <v/>
      </c>
      <c r="AL57" s="40"/>
    </row>
    <row r="58" spans="1:38" ht="27" customHeight="1">
      <c r="A58" s="190"/>
      <c r="B58" s="190"/>
      <c r="C58" s="112" t="str">
        <f>IFERROR(IF(INDEX(ITT_HealthWellbeing_OP_A,MATCH("3.3",ITT_HealthWellbeing_OP_A,0))="","",INDEX(ITT_HealthWellbeing_OP_A,MATCH("3.3",ITT_HealthWellbeing_OP_A,0))),"")</f>
        <v>3.3</v>
      </c>
      <c r="D58" s="60" t="str">
        <f>IFERROR(IF(INDEX(ITT_HealthWellbeing_OP_B,MATCH("3.3",ITT_HealthWellbeing_OP_A,0))="","",INDEX(ITT_HealthWellbeing_OP_B,MATCH("3.3",ITT_HealthWellbeing_OP_A,0))),"")</f>
        <v/>
      </c>
      <c r="E58" s="40" t="str">
        <f>IFERROR(IF(INDEX(ITT_HealthWellbeing_OP_E,MATCH("3.3",ITT_HealthWellbeing_OP_A,0))="","",INDEX(ITT_HealthWellbeing_OP_E,MATCH("3.3",ITT_HealthWellbeing_OP_A,0))),"")</f>
        <v/>
      </c>
      <c r="F58" s="40" t="str">
        <f>IFERROR(IF(INDEX(ITT_HealthWellbeing_OP_G,MATCH("3.3",ITT_HealthWellbeing_OP_A,0))="","",INDEX(ITT_HealthWellbeing_OP_G,MATCH("3.3",ITT_HealthWellbeing_OP_A,0))),"")</f>
        <v/>
      </c>
      <c r="G58" s="112" t="str">
        <f>IFERROR(IF(INDEX(ITT_HealthWellbeing_OP_J,MATCH("3.3",ITT_HealthWellbeing_OP_A,0))="","",INDEX(ITT_HealthWellbeing_OP_J,MATCH("3.3",ITT_HealthWellbeing_OP_A,0))),"")</f>
        <v/>
      </c>
      <c r="H58" s="112" t="str">
        <f>IFERROR(IF(INDEX(ITT_HealthWellbeing_OP_K,MATCH("3.3",ITT_HealthWellbeing_OP_A,0))="","",INDEX(ITT_HealthWellbeing_OP_K,MATCH("3.3",ITT_HealthWellbeing_OP_A,0))),"")</f>
        <v/>
      </c>
      <c r="I58" s="40"/>
      <c r="J58" s="40"/>
      <c r="K58" s="40"/>
      <c r="L58" s="40"/>
      <c r="M58" s="41" t="str">
        <f t="shared" si="5"/>
        <v/>
      </c>
      <c r="N58" s="40"/>
      <c r="O58" s="40"/>
      <c r="P58" s="40"/>
      <c r="Q58" s="40"/>
      <c r="R58" s="40"/>
      <c r="S58" s="157" t="str">
        <f t="shared" si="6"/>
        <v/>
      </c>
      <c r="T58" s="40"/>
      <c r="U58" s="40"/>
      <c r="V58" s="40"/>
      <c r="W58" s="40"/>
      <c r="X58" s="40"/>
      <c r="Y58" s="157" t="str">
        <f t="shared" si="7"/>
        <v/>
      </c>
      <c r="Z58" s="40"/>
      <c r="AA58" s="40"/>
      <c r="AB58" s="40"/>
      <c r="AC58" s="40"/>
      <c r="AD58" s="40"/>
      <c r="AE58" s="157" t="str">
        <f t="shared" si="8"/>
        <v/>
      </c>
      <c r="AF58" s="40"/>
      <c r="AG58" s="40"/>
      <c r="AH58" s="40"/>
      <c r="AI58" s="40"/>
      <c r="AJ58" s="40"/>
      <c r="AK58" s="157" t="str">
        <f t="shared" si="9"/>
        <v/>
      </c>
      <c r="AL58" s="40"/>
    </row>
    <row r="59" spans="1:38" ht="27" customHeight="1">
      <c r="A59" s="190"/>
      <c r="B59" s="190"/>
      <c r="C59" s="112" t="str">
        <f>IFERROR(IF(INDEX(ITT_HealthWellbeing_OP_A,MATCH("4.1",ITT_HealthWellbeing_OP_A,0))="","",INDEX(ITT_HealthWellbeing_OP_A,MATCH("4.1",ITT_HealthWellbeing_OP_A,0))),"")</f>
        <v>4.1</v>
      </c>
      <c r="D59" s="60" t="str">
        <f>IFERROR(IF(INDEX(ITT_HealthWellbeing_OP_B,MATCH("4.1",ITT_HealthWellbeing_OP_A,0))="","",INDEX(ITT_HealthWellbeing_OP_B,MATCH("4.1",ITT_HealthWellbeing_OP_A,0))),"")</f>
        <v/>
      </c>
      <c r="E59" s="40" t="str">
        <f>IFERROR(IF(INDEX(ITT_HealthWellbeing_OP_E,MATCH("4.1",ITT_HealthWellbeing_OP_A,0))="","",INDEX(ITT_HealthWellbeing_OP_E,MATCH("4.1",ITT_HealthWellbeing_OP_A,0))),"")</f>
        <v/>
      </c>
      <c r="F59" s="40" t="str">
        <f>IFERROR(IF(INDEX(ITT_HealthWellbeing_OP_G,MATCH("4.1",ITT_HealthWellbeing_OP_A,0))="","",INDEX(ITT_HealthWellbeing_OP_G,MATCH("4.1",ITT_HealthWellbeing_OP_A,0))),"")</f>
        <v/>
      </c>
      <c r="G59" s="112" t="str">
        <f>IFERROR(IF(INDEX(ITT_HealthWellbeing_OP_J,MATCH("4.1",ITT_HealthWellbeing_OP_A,0))="","",INDEX(ITT_HealthWellbeing_OP_J,MATCH("4.1",ITT_HealthWellbeing_OP_A,0))),"")</f>
        <v/>
      </c>
      <c r="H59" s="112" t="str">
        <f>IFERROR(IF(INDEX(ITT_HealthWellbeing_OP_K,MATCH("4.1",ITT_HealthWellbeing_OP_A,0))="","",INDEX(ITT_HealthWellbeing_OP_K,MATCH("4.1",ITT_HealthWellbeing_OP_A,0))),"")</f>
        <v/>
      </c>
      <c r="I59" s="40"/>
      <c r="J59" s="40"/>
      <c r="K59" s="40"/>
      <c r="L59" s="40"/>
      <c r="M59" s="41" t="str">
        <f t="shared" si="5"/>
        <v/>
      </c>
      <c r="N59" s="40"/>
      <c r="O59" s="40"/>
      <c r="P59" s="40"/>
      <c r="Q59" s="40"/>
      <c r="R59" s="40"/>
      <c r="S59" s="157" t="str">
        <f t="shared" si="6"/>
        <v/>
      </c>
      <c r="T59" s="40"/>
      <c r="U59" s="40"/>
      <c r="V59" s="40"/>
      <c r="W59" s="40"/>
      <c r="X59" s="40"/>
      <c r="Y59" s="157" t="str">
        <f t="shared" si="7"/>
        <v/>
      </c>
      <c r="Z59" s="40"/>
      <c r="AA59" s="40"/>
      <c r="AB59" s="40"/>
      <c r="AC59" s="40"/>
      <c r="AD59" s="40"/>
      <c r="AE59" s="157" t="str">
        <f t="shared" si="8"/>
        <v/>
      </c>
      <c r="AF59" s="40"/>
      <c r="AG59" s="40"/>
      <c r="AH59" s="40"/>
      <c r="AI59" s="40"/>
      <c r="AJ59" s="40"/>
      <c r="AK59" s="157" t="str">
        <f t="shared" si="9"/>
        <v/>
      </c>
      <c r="AL59" s="40"/>
    </row>
    <row r="60" spans="1:38" ht="27" customHeight="1">
      <c r="A60" s="190"/>
      <c r="B60" s="190"/>
      <c r="C60" s="112" t="str">
        <f>IFERROR(IF(INDEX(ITT_HealthWellbeing_OP_A,MATCH("4.2",ITT_HealthWellbeing_OP_A,0))="","",INDEX(ITT_HealthWellbeing_OP_A,MATCH("4.2",ITT_HealthWellbeing_OP_A,0))),"")</f>
        <v>4.2</v>
      </c>
      <c r="D60" s="60" t="str">
        <f>IFERROR(IF(INDEX(ITT_HealthWellbeing_OP_B,MATCH("4.2",ITT_HealthWellbeing_OP_A,0))="","",INDEX(ITT_HealthWellbeing_OP_B,MATCH("4.2",ITT_HealthWellbeing_OP_A,0))),"")</f>
        <v/>
      </c>
      <c r="E60" s="40" t="str">
        <f>IFERROR(IF(INDEX(ITT_HealthWellbeing_OP_E,MATCH("4.2",ITT_HealthWellbeing_OP_A,0))="","",INDEX(ITT_HealthWellbeing_OP_E,MATCH("4.2",ITT_HealthWellbeing_OP_A,0))),"")</f>
        <v/>
      </c>
      <c r="F60" s="40" t="str">
        <f>IFERROR(IF(INDEX(ITT_HealthWellbeing_OP_G,MATCH("4.2",ITT_HealthWellbeing_OP_A,0))="","",INDEX(ITT_HealthWellbeing_OP_G,MATCH("4.2",ITT_HealthWellbeing_OP_A,0))),"")</f>
        <v/>
      </c>
      <c r="G60" s="112" t="str">
        <f>IFERROR(IF(INDEX(ITT_HealthWellbeing_OP_J,MATCH("4.2",ITT_HealthWellbeing_OP_A,0))="","",INDEX(ITT_HealthWellbeing_OP_J,MATCH("4.2",ITT_HealthWellbeing_OP_A,0))),"")</f>
        <v/>
      </c>
      <c r="H60" s="112" t="str">
        <f>IFERROR(IF(INDEX(ITT_HealthWellbeing_OP_K,MATCH("4.2",ITT_HealthWellbeing_OP_A,0))="","",INDEX(ITT_HealthWellbeing_OP_K,MATCH("4.2",ITT_HealthWellbeing_OP_A,0))),"")</f>
        <v/>
      </c>
      <c r="I60" s="40"/>
      <c r="J60" s="40"/>
      <c r="K60" s="40"/>
      <c r="L60" s="40"/>
      <c r="M60" s="41" t="str">
        <f t="shared" si="5"/>
        <v/>
      </c>
      <c r="N60" s="40"/>
      <c r="O60" s="40"/>
      <c r="P60" s="40"/>
      <c r="Q60" s="40"/>
      <c r="R60" s="40"/>
      <c r="S60" s="157" t="str">
        <f t="shared" si="6"/>
        <v/>
      </c>
      <c r="T60" s="40"/>
      <c r="U60" s="40"/>
      <c r="V60" s="40"/>
      <c r="W60" s="40"/>
      <c r="X60" s="40"/>
      <c r="Y60" s="157" t="str">
        <f t="shared" si="7"/>
        <v/>
      </c>
      <c r="Z60" s="40"/>
      <c r="AA60" s="40"/>
      <c r="AB60" s="40"/>
      <c r="AC60" s="40"/>
      <c r="AD60" s="40"/>
      <c r="AE60" s="157" t="str">
        <f t="shared" si="8"/>
        <v/>
      </c>
      <c r="AF60" s="40"/>
      <c r="AG60" s="40"/>
      <c r="AH60" s="40"/>
      <c r="AI60" s="40"/>
      <c r="AJ60" s="40"/>
      <c r="AK60" s="157" t="str">
        <f t="shared" si="9"/>
        <v/>
      </c>
      <c r="AL60" s="40"/>
    </row>
    <row r="61" spans="1:38" ht="27" customHeight="1">
      <c r="A61" s="190"/>
      <c r="B61" s="190"/>
      <c r="C61" s="112" t="str">
        <f>IFERROR(IF(INDEX(ITT_HealthWellbeing_OP_A,MATCH("4.3",ITT_HealthWellbeing_OP_A,0))="","",INDEX(ITT_HealthWellbeing_OP_A,MATCH("4.3",ITT_HealthWellbeing_OP_A,0))),"")</f>
        <v>4.3</v>
      </c>
      <c r="D61" s="60" t="str">
        <f>IFERROR(IF(INDEX(ITT_HealthWellbeing_OP_B,MATCH("4.3",ITT_HealthWellbeing_OP_A,0))="","",INDEX(ITT_HealthWellbeing_OP_B,MATCH("4.3",ITT_HealthWellbeing_OP_A,0))),"")</f>
        <v/>
      </c>
      <c r="E61" s="40" t="str">
        <f>IFERROR(IF(INDEX(ITT_HealthWellbeing_OP_E,MATCH("4.3",ITT_HealthWellbeing_OP_A,0))="","",INDEX(ITT_HealthWellbeing_OP_E,MATCH("4.3",ITT_HealthWellbeing_OP_A,0))),"")</f>
        <v/>
      </c>
      <c r="F61" s="40" t="str">
        <f>IFERROR(IF(INDEX(ITT_HealthWellbeing_OP_G,MATCH("4.3",ITT_HealthWellbeing_OP_A,0))="","",INDEX(ITT_HealthWellbeing_OP_G,MATCH("4.3",ITT_HealthWellbeing_OP_A,0))),"")</f>
        <v/>
      </c>
      <c r="G61" s="112" t="str">
        <f>IFERROR(IF(INDEX(ITT_HealthWellbeing_OP_J,MATCH("4.3",ITT_HealthWellbeing_OP_A,0))="","",INDEX(ITT_HealthWellbeing_OP_J,MATCH("4.3",ITT_HealthWellbeing_OP_A,0))),"")</f>
        <v/>
      </c>
      <c r="H61" s="112" t="str">
        <f>IFERROR(IF(INDEX(ITT_HealthWellbeing_OP_K,MATCH("4.3",ITT_HealthWellbeing_OP_A,0))="","",INDEX(ITT_HealthWellbeing_OP_K,MATCH("4.3",ITT_HealthWellbeing_OP_A,0))),"")</f>
        <v/>
      </c>
      <c r="I61" s="40"/>
      <c r="J61" s="40"/>
      <c r="K61" s="40"/>
      <c r="L61" s="40"/>
      <c r="M61" s="41" t="str">
        <f t="shared" si="5"/>
        <v/>
      </c>
      <c r="N61" s="40"/>
      <c r="O61" s="40"/>
      <c r="P61" s="40"/>
      <c r="Q61" s="40"/>
      <c r="R61" s="40"/>
      <c r="S61" s="157" t="str">
        <f t="shared" si="6"/>
        <v/>
      </c>
      <c r="T61" s="40"/>
      <c r="U61" s="40"/>
      <c r="V61" s="40"/>
      <c r="W61" s="40"/>
      <c r="X61" s="40"/>
      <c r="Y61" s="157" t="str">
        <f t="shared" si="7"/>
        <v/>
      </c>
      <c r="Z61" s="40"/>
      <c r="AA61" s="40"/>
      <c r="AB61" s="40"/>
      <c r="AC61" s="40"/>
      <c r="AD61" s="40"/>
      <c r="AE61" s="157" t="str">
        <f t="shared" si="8"/>
        <v/>
      </c>
      <c r="AF61" s="40"/>
      <c r="AG61" s="40"/>
      <c r="AH61" s="40"/>
      <c r="AI61" s="40"/>
      <c r="AJ61" s="40"/>
      <c r="AK61" s="157" t="str">
        <f t="shared" si="9"/>
        <v/>
      </c>
      <c r="AL61" s="40"/>
    </row>
    <row r="62" spans="1:38" ht="27" customHeight="1">
      <c r="A62" s="190"/>
      <c r="B62" s="190"/>
      <c r="C62" s="112" t="str">
        <f>IFERROR(IF(INDEX(ITT_HealthWellbeing_OP_A,MATCH("5.1",ITT_HealthWellbeing_OP_A,0))="","",INDEX(ITT_HealthWellbeing_OP_A,MATCH("5.1",ITT_HealthWellbeing_OP_A,0))),"")</f>
        <v>5.1</v>
      </c>
      <c r="D62" s="60" t="str">
        <f>IFERROR(IF(INDEX(ITT_HealthWellbeing_OP_B,MATCH("5.1",ITT_HealthWellbeing_OP_A,0))="","",INDEX(ITT_HealthWellbeing_OP_B,MATCH("5.1",ITT_HealthWellbeing_OP_A,0))),"")</f>
        <v/>
      </c>
      <c r="E62" s="40" t="str">
        <f>IFERROR(IF(INDEX(ITT_HealthWellbeing_OP_E,MATCH("5.1",ITT_HealthWellbeing_OP_A,0))="","",INDEX(ITT_HealthWellbeing_OP_E,MATCH("5.1",ITT_HealthWellbeing_OP_A,0))),"")</f>
        <v/>
      </c>
      <c r="F62" s="40" t="str">
        <f>IFERROR(IF(INDEX(ITT_HealthWellbeing_OP_G,MATCH("5.1",ITT_HealthWellbeing_OP_A,0))="","",INDEX(ITT_HealthWellbeing_OP_G,MATCH("5.1",ITT_HealthWellbeing_OP_A,0))),"")</f>
        <v/>
      </c>
      <c r="G62" s="112" t="str">
        <f>IFERROR(IF(INDEX(ITT_HealthWellbeing_OP_J,MATCH("5.1",ITT_HealthWellbeing_OP_A,0))="","",INDEX(ITT_HealthWellbeing_OP_J,MATCH("5.1",ITT_HealthWellbeing_OP_A,0))),"")</f>
        <v/>
      </c>
      <c r="H62" s="112" t="str">
        <f>IFERROR(IF(INDEX(ITT_HealthWellbeing_OP_K,MATCH("5.1",ITT_HealthWellbeing_OP_A,0))="","",INDEX(ITT_HealthWellbeing_OP_K,MATCH("5.1",ITT_HealthWellbeing_OP_A,0))),"")</f>
        <v/>
      </c>
      <c r="I62" s="40"/>
      <c r="J62" s="40"/>
      <c r="K62" s="40"/>
      <c r="L62" s="40"/>
      <c r="M62" s="41" t="str">
        <f t="shared" si="5"/>
        <v/>
      </c>
      <c r="N62" s="40"/>
      <c r="O62" s="40"/>
      <c r="P62" s="40"/>
      <c r="Q62" s="40"/>
      <c r="R62" s="40"/>
      <c r="S62" s="157" t="str">
        <f t="shared" si="6"/>
        <v/>
      </c>
      <c r="T62" s="40"/>
      <c r="U62" s="40"/>
      <c r="V62" s="40"/>
      <c r="W62" s="40"/>
      <c r="X62" s="40"/>
      <c r="Y62" s="157" t="str">
        <f t="shared" si="7"/>
        <v/>
      </c>
      <c r="Z62" s="40"/>
      <c r="AA62" s="40"/>
      <c r="AB62" s="40"/>
      <c r="AC62" s="40"/>
      <c r="AD62" s="40"/>
      <c r="AE62" s="157" t="str">
        <f t="shared" si="8"/>
        <v/>
      </c>
      <c r="AF62" s="40"/>
      <c r="AG62" s="40"/>
      <c r="AH62" s="40"/>
      <c r="AI62" s="40"/>
      <c r="AJ62" s="40"/>
      <c r="AK62" s="157" t="str">
        <f t="shared" si="9"/>
        <v/>
      </c>
      <c r="AL62" s="40"/>
    </row>
    <row r="63" spans="1:38" ht="27" customHeight="1">
      <c r="A63" s="190"/>
      <c r="B63" s="190"/>
      <c r="C63" s="112" t="str">
        <f>IFERROR(IF(INDEX(ITT_HealthWellbeing_OP_A,MATCH("5.2",ITT_HealthWellbeing_OP_A,0))="","",INDEX(ITT_HealthWellbeing_OP_A,MATCH("5.2",ITT_HealthWellbeing_OP_A,0))),"")</f>
        <v>5.2</v>
      </c>
      <c r="D63" s="60" t="str">
        <f>IFERROR(IF(INDEX(ITT_HealthWellbeing_OP_B,MATCH("5.2",ITT_HealthWellbeing_OP_A,0))="","",INDEX(ITT_HealthWellbeing_OP_B,MATCH("5.2",ITT_HealthWellbeing_OP_A,0))),"")</f>
        <v/>
      </c>
      <c r="E63" s="40" t="str">
        <f>IFERROR(IF(INDEX(ITT_HealthWellbeing_OP_E,MATCH("5.2",ITT_HealthWellbeing_OP_A,0))="","",INDEX(ITT_HealthWellbeing_OP_E,MATCH("5.2",ITT_HealthWellbeing_OP_A,0))),"")</f>
        <v/>
      </c>
      <c r="F63" s="40" t="str">
        <f>IFERROR(IF(INDEX(ITT_HealthWellbeing_OP_G,MATCH("5.2",ITT_HealthWellbeing_OP_A,0))="","",INDEX(ITT_HealthWellbeing_OP_G,MATCH("5.2",ITT_HealthWellbeing_OP_A,0))),"")</f>
        <v/>
      </c>
      <c r="G63" s="112" t="str">
        <f>IFERROR(IF(INDEX(ITT_HealthWellbeing_OP_J,MATCH("5.2",ITT_HealthWellbeing_OP_A,0))="","",INDEX(ITT_HealthWellbeing_OP_J,MATCH("5.2",ITT_HealthWellbeing_OP_A,0))),"")</f>
        <v/>
      </c>
      <c r="H63" s="112" t="str">
        <f>IFERROR(IF(INDEX(ITT_HealthWellbeing_OP_K,MATCH("5.2",ITT_HealthWellbeing_OP_A,0))="","",INDEX(ITT_HealthWellbeing_OP_K,MATCH("5.2",ITT_HealthWellbeing_OP_A,0))),"")</f>
        <v/>
      </c>
      <c r="I63" s="40"/>
      <c r="J63" s="40"/>
      <c r="K63" s="40"/>
      <c r="L63" s="40"/>
      <c r="M63" s="41" t="str">
        <f t="shared" si="5"/>
        <v/>
      </c>
      <c r="N63" s="40"/>
      <c r="O63" s="40"/>
      <c r="P63" s="40"/>
      <c r="Q63" s="40"/>
      <c r="R63" s="40"/>
      <c r="S63" s="157" t="str">
        <f t="shared" si="6"/>
        <v/>
      </c>
      <c r="T63" s="40"/>
      <c r="U63" s="40"/>
      <c r="V63" s="40"/>
      <c r="W63" s="40"/>
      <c r="X63" s="40"/>
      <c r="Y63" s="157" t="str">
        <f t="shared" si="7"/>
        <v/>
      </c>
      <c r="Z63" s="40"/>
      <c r="AA63" s="40"/>
      <c r="AB63" s="40"/>
      <c r="AC63" s="40"/>
      <c r="AD63" s="40"/>
      <c r="AE63" s="157" t="str">
        <f t="shared" si="8"/>
        <v/>
      </c>
      <c r="AF63" s="40"/>
      <c r="AG63" s="40"/>
      <c r="AH63" s="40"/>
      <c r="AI63" s="40"/>
      <c r="AJ63" s="40"/>
      <c r="AK63" s="157" t="str">
        <f t="shared" si="9"/>
        <v/>
      </c>
      <c r="AL63" s="40"/>
    </row>
    <row r="64" spans="1:38" ht="27" customHeight="1">
      <c r="A64" s="194"/>
      <c r="B64" s="194"/>
      <c r="C64" s="112" t="str">
        <f>IFERROR(IF(INDEX(ITT_HealthWellbeing_OP_A,MATCH("5.3",ITT_HealthWellbeing_OP_A,0))="","",INDEX(ITT_HealthWellbeing_OP_A,MATCH("5.3",ITT_HealthWellbeing_OP_A,0))),"")</f>
        <v>5.3</v>
      </c>
      <c r="D64" s="60" t="str">
        <f>IFERROR(IF(INDEX(ITT_HealthWellbeing_OP_B,MATCH("5.3",ITT_HealthWellbeing_OP_A,0))="","",INDEX(ITT_HealthWellbeing_OP_B,MATCH("5.3",ITT_HealthWellbeing_OP_A,0))),"")</f>
        <v/>
      </c>
      <c r="E64" s="40" t="str">
        <f>IFERROR(IF(INDEX(ITT_HealthWellbeing_OP_E,MATCH("5.3",ITT_HealthWellbeing_OP_A,0))="","",INDEX(ITT_HealthWellbeing_OP_E,MATCH("5.3",ITT_HealthWellbeing_OP_A,0))),"")</f>
        <v/>
      </c>
      <c r="F64" s="40" t="str">
        <f>IFERROR(IF(INDEX(ITT_HealthWellbeing_OP_G,MATCH("5.3",ITT_HealthWellbeing_OP_A,0))="","",INDEX(ITT_HealthWellbeing_OP_G,MATCH("5.3",ITT_HealthWellbeing_OP_A,0))),"")</f>
        <v/>
      </c>
      <c r="G64" s="112" t="str">
        <f>IFERROR(IF(INDEX(ITT_HealthWellbeing_OP_J,MATCH("5.3",ITT_HealthWellbeing_OP_A,0))="","",INDEX(ITT_HealthWellbeing_OP_J,MATCH("5.3",ITT_HealthWellbeing_OP_A,0))),"")</f>
        <v/>
      </c>
      <c r="H64" s="112" t="str">
        <f>IFERROR(IF(INDEX(ITT_HealthWellbeing_OP_K,MATCH("5.3",ITT_HealthWellbeing_OP_A,0))="","",INDEX(ITT_HealthWellbeing_OP_K,MATCH("5.3",ITT_HealthWellbeing_OP_A,0))),"")</f>
        <v/>
      </c>
      <c r="I64" s="40"/>
      <c r="J64" s="40"/>
      <c r="K64" s="40"/>
      <c r="L64" s="40"/>
      <c r="M64" s="41" t="str">
        <f t="shared" si="5"/>
        <v/>
      </c>
      <c r="N64" s="40"/>
      <c r="O64" s="40"/>
      <c r="P64" s="40"/>
      <c r="Q64" s="40"/>
      <c r="R64" s="40"/>
      <c r="S64" s="157" t="str">
        <f t="shared" si="6"/>
        <v/>
      </c>
      <c r="T64" s="40"/>
      <c r="U64" s="40"/>
      <c r="V64" s="40"/>
      <c r="W64" s="40"/>
      <c r="X64" s="40"/>
      <c r="Y64" s="157" t="str">
        <f t="shared" si="7"/>
        <v/>
      </c>
      <c r="Z64" s="40"/>
      <c r="AA64" s="40"/>
      <c r="AB64" s="40"/>
      <c r="AC64" s="40"/>
      <c r="AD64" s="40"/>
      <c r="AE64" s="157" t="str">
        <f t="shared" si="8"/>
        <v/>
      </c>
      <c r="AF64" s="40"/>
      <c r="AG64" s="40"/>
      <c r="AH64" s="40"/>
      <c r="AI64" s="40"/>
      <c r="AJ64" s="40"/>
      <c r="AK64" s="157" t="str">
        <f t="shared" si="9"/>
        <v/>
      </c>
      <c r="AL64" s="40"/>
    </row>
    <row r="65" spans="1:38" ht="17.25" customHeight="1">
      <c r="A65" s="360" t="s">
        <v>361</v>
      </c>
      <c r="B65" s="361" t="s">
        <v>125</v>
      </c>
      <c r="C65" s="112" t="str">
        <f>IFERROR(IF(INDEX(ITT_EconomicEmpowerment_OC_A,MATCH("1",ITT_EconomicEmpowerment_OC_A,0))="","",INDEX(ITT_EconomicEmpowerment_OC_A,MATCH("1",ITT_EconomicEmpowerment_OC_A,0))),"")</f>
        <v>1</v>
      </c>
      <c r="D65" s="60" t="str">
        <f>IFERROR(IF(INDEX(ITT_EconomicEmpowerment_OC_B,MATCH("1",ITT_EconomicEmpowerment_OC_A,0))="","",INDEX(ITT_EconomicEmpowerment_OC_B,MATCH("1",ITT_EconomicEmpowerment_OC_A,0))),"")</f>
        <v/>
      </c>
      <c r="E65" s="40" t="str">
        <f>IFERROR(IF(INDEX(ITT_EconomicEmpowerment_OC_E,MATCH("1",ITT_EconomicEmpowerment_OC_A,0))="","",INDEX(ITT_EconomicEmpowerment_OC_E,MATCH("1",ITT_EconomicEmpowerment_OC_A,0))),"")</f>
        <v/>
      </c>
      <c r="F65" s="40" t="str">
        <f>IFERROR(IF(INDEX(ITT_EconomicEmpowerment_OC_G,MATCH("1",ITT_EconomicEmpowerment_OC_A,0))="","",INDEX(ITT_EconomicEmpowerment_OC_G,MATCH("1",ITT_EconomicEmpowerment_OC_A,0))),"")</f>
        <v/>
      </c>
      <c r="G65" s="112" t="str">
        <f>IFERROR(IF(INDEX(ITT_EconomicEmpowerment_OC_J,MATCH("1",ITT_EconomicEmpowerment_OC_A,0))="","",INDEX(ITT_EconomicEmpowerment_OC_J,MATCH("1",ITT_EconomicEmpowerment_OC_A,0))),"")</f>
        <v/>
      </c>
      <c r="H65" s="112" t="str">
        <f>IFERROR(IF(INDEX(ITT_EconomicEmpowerment_OC_K,MATCH("1",ITT_EconomicEmpowerment_OC_A,0))="","",INDEX(ITT_EconomicEmpowerment_OC_K,MATCH("1",ITT_EconomicEmpowerment_OC_A,0))),"")</f>
        <v/>
      </c>
      <c r="I65" s="40"/>
      <c r="J65" s="40"/>
      <c r="K65" s="40"/>
      <c r="L65" s="40"/>
      <c r="M65" s="41" t="str">
        <f t="shared" si="5"/>
        <v/>
      </c>
      <c r="N65" s="40"/>
      <c r="O65" s="40"/>
      <c r="P65" s="40"/>
      <c r="Q65" s="40"/>
      <c r="R65" s="40"/>
      <c r="S65" s="157" t="str">
        <f t="shared" si="6"/>
        <v/>
      </c>
      <c r="T65" s="40"/>
      <c r="U65" s="40"/>
      <c r="V65" s="40"/>
      <c r="W65" s="40"/>
      <c r="X65" s="40"/>
      <c r="Y65" s="157" t="str">
        <f t="shared" si="7"/>
        <v/>
      </c>
      <c r="Z65" s="40"/>
      <c r="AA65" s="40"/>
      <c r="AB65" s="40"/>
      <c r="AC65" s="40"/>
      <c r="AD65" s="40"/>
      <c r="AE65" s="157" t="str">
        <f t="shared" si="8"/>
        <v/>
      </c>
      <c r="AF65" s="40"/>
      <c r="AG65" s="40"/>
      <c r="AH65" s="40"/>
      <c r="AI65" s="40"/>
      <c r="AJ65" s="40"/>
      <c r="AK65" s="157" t="str">
        <f t="shared" si="9"/>
        <v/>
      </c>
      <c r="AL65" s="40"/>
    </row>
    <row r="66" spans="1:38">
      <c r="A66" s="190"/>
      <c r="B66" s="190"/>
      <c r="C66" s="112" t="str">
        <f>IFERROR(IF(INDEX(ITT_EconomicEmpowerment_OC_A,MATCH("2",ITT_EconomicEmpowerment_OC_A,0))="","",INDEX(ITT_EconomicEmpowerment_OC_A,MATCH("2",ITT_EconomicEmpowerment_OC_A,0))),"")</f>
        <v>2</v>
      </c>
      <c r="D66" s="60" t="str">
        <f>IFERROR(IF(INDEX(ITT_EconomicEmpowerment_OC_B,MATCH("2",ITT_EconomicEmpowerment_OC_A,0))="","",INDEX(ITT_EconomicEmpowerment_OC_B,MATCH("2",ITT_EconomicEmpowerment_OC_A,0))),"")</f>
        <v/>
      </c>
      <c r="E66" s="40" t="str">
        <f>IFERROR(IF(INDEX(ITT_EconomicEmpowerment_OC_E,MATCH("2",ITT_EconomicEmpowerment_OC_A,0))="","",INDEX(ITT_EconomicEmpowerment_OC_E,MATCH("2",ITT_EconomicEmpowerment_OC_A,0))),"")</f>
        <v/>
      </c>
      <c r="F66" s="40" t="str">
        <f>IFERROR(IF(INDEX(ITT_EconomicEmpowerment_OC_G,MATCH("2",ITT_EconomicEmpowerment_OC_A,0))="","",INDEX(ITT_EconomicEmpowerment_OC_G,MATCH("2",ITT_EconomicEmpowerment_OC_A,0))),"")</f>
        <v/>
      </c>
      <c r="G66" s="112" t="str">
        <f>IFERROR(IF(INDEX(ITT_EconomicEmpowerment_OC_J,MATCH("2",ITT_EconomicEmpowerment_OC_A,0))="","",INDEX(ITT_EconomicEmpowerment_OC_J,MATCH("2",ITT_EconomicEmpowerment_OC_A,0))),"")</f>
        <v/>
      </c>
      <c r="H66" s="112" t="str">
        <f>IFERROR(IF(INDEX(ITT_EconomicEmpowerment_OC_K,MATCH("2",ITT_EconomicEmpowerment_OC_A,0))="","",INDEX(ITT_EconomicEmpowerment_OC_K,MATCH("2",ITT_EconomicEmpowerment_OC_A,0))),"")</f>
        <v/>
      </c>
      <c r="I66" s="40"/>
      <c r="J66" s="40"/>
      <c r="K66" s="40"/>
      <c r="L66" s="40"/>
      <c r="M66" s="41" t="str">
        <f t="shared" si="5"/>
        <v/>
      </c>
      <c r="N66" s="40"/>
      <c r="O66" s="40"/>
      <c r="P66" s="40"/>
      <c r="Q66" s="40"/>
      <c r="R66" s="40"/>
      <c r="S66" s="157" t="str">
        <f t="shared" si="6"/>
        <v/>
      </c>
      <c r="T66" s="40"/>
      <c r="U66" s="40"/>
      <c r="V66" s="40"/>
      <c r="W66" s="40"/>
      <c r="X66" s="40"/>
      <c r="Y66" s="157" t="str">
        <f t="shared" si="7"/>
        <v/>
      </c>
      <c r="Z66" s="40"/>
      <c r="AA66" s="40"/>
      <c r="AB66" s="40"/>
      <c r="AC66" s="40"/>
      <c r="AD66" s="40"/>
      <c r="AE66" s="157" t="str">
        <f t="shared" si="8"/>
        <v/>
      </c>
      <c r="AF66" s="40"/>
      <c r="AG66" s="40"/>
      <c r="AH66" s="40"/>
      <c r="AI66" s="40"/>
      <c r="AJ66" s="40"/>
      <c r="AK66" s="157" t="str">
        <f t="shared" si="9"/>
        <v/>
      </c>
      <c r="AL66" s="40"/>
    </row>
    <row r="67" spans="1:38">
      <c r="A67" s="190"/>
      <c r="B67" s="190"/>
      <c r="C67" s="112" t="str">
        <f>IFERROR(IF(INDEX(ITT_EconomicEmpowerment_OC_A,MATCH("3",ITT_EconomicEmpowerment_OC_A,0))="","",INDEX(ITT_EconomicEmpowerment_OC_A,MATCH("3",ITT_EconomicEmpowerment_OC_A,0))),"")</f>
        <v>3</v>
      </c>
      <c r="D67" s="60" t="str">
        <f>IFERROR(IF(INDEX(ITT_EconomicEmpowerment_OC_B,MATCH("3",ITT_EconomicEmpowerment_OC_A,0))="","",INDEX(ITT_EconomicEmpowerment_OC_B,MATCH("3",ITT_EconomicEmpowerment_OC_A,0))),"")</f>
        <v/>
      </c>
      <c r="E67" s="40" t="str">
        <f>IFERROR(IF(INDEX(ITT_EconomicEmpowerment_OC_E,MATCH("3",ITT_EconomicEmpowerment_OC_A,0))="","",INDEX(ITT_EconomicEmpowerment_OC_E,MATCH("3",ITT_EconomicEmpowerment_OC_A,0))),"")</f>
        <v/>
      </c>
      <c r="F67" s="40" t="str">
        <f>IFERROR(IF(INDEX(ITT_EconomicEmpowerment_OC_G,MATCH("3",ITT_EconomicEmpowerment_OC_A,0))="","",INDEX(ITT_EconomicEmpowerment_OC_G,MATCH("3",ITT_EconomicEmpowerment_OC_A,0))),"")</f>
        <v/>
      </c>
      <c r="G67" s="112" t="str">
        <f>IFERROR(IF(INDEX(ITT_EconomicEmpowerment_OC_J,MATCH("3",ITT_EconomicEmpowerment_OC_A,0))="","",INDEX(ITT_EconomicEmpowerment_OC_J,MATCH("3",ITT_EconomicEmpowerment_OC_A,0))),"")</f>
        <v/>
      </c>
      <c r="H67" s="112" t="str">
        <f>IFERROR(IF(INDEX(ITT_EconomicEmpowerment_OC_K,MATCH("3",ITT_EconomicEmpowerment_OC_A,0))="","",INDEX(ITT_EconomicEmpowerment_OC_K,MATCH("3",ITT_EconomicEmpowerment_OC_A,0))),"")</f>
        <v/>
      </c>
      <c r="I67" s="40"/>
      <c r="J67" s="40"/>
      <c r="K67" s="40"/>
      <c r="L67" s="40"/>
      <c r="M67" s="41" t="str">
        <f t="shared" si="5"/>
        <v/>
      </c>
      <c r="N67" s="40"/>
      <c r="O67" s="40"/>
      <c r="P67" s="40"/>
      <c r="Q67" s="40"/>
      <c r="R67" s="40"/>
      <c r="S67" s="157" t="str">
        <f t="shared" si="6"/>
        <v/>
      </c>
      <c r="T67" s="40"/>
      <c r="U67" s="40"/>
      <c r="V67" s="40"/>
      <c r="W67" s="40"/>
      <c r="X67" s="40"/>
      <c r="Y67" s="157" t="str">
        <f t="shared" si="7"/>
        <v/>
      </c>
      <c r="Z67" s="40"/>
      <c r="AA67" s="40"/>
      <c r="AB67" s="40"/>
      <c r="AC67" s="40"/>
      <c r="AD67" s="40"/>
      <c r="AE67" s="157" t="str">
        <f t="shared" si="8"/>
        <v/>
      </c>
      <c r="AF67" s="40"/>
      <c r="AG67" s="40"/>
      <c r="AH67" s="40"/>
      <c r="AI67" s="40"/>
      <c r="AJ67" s="40"/>
      <c r="AK67" s="157" t="str">
        <f t="shared" si="9"/>
        <v/>
      </c>
      <c r="AL67" s="40"/>
    </row>
    <row r="68" spans="1:38">
      <c r="A68" s="190"/>
      <c r="B68" s="190"/>
      <c r="C68" s="112" t="str">
        <f>IFERROR(IF(INDEX(ITT_EconomicEmpowerment_OC_A,MATCH("4",ITT_EconomicEmpowerment_OC_A,0))="","",INDEX(ITT_EconomicEmpowerment_OC_A,MATCH("4",ITT_EconomicEmpowerment_OC_A,0))),"")</f>
        <v>4</v>
      </c>
      <c r="D68" s="60" t="str">
        <f>IFERROR(IF(INDEX(ITT_EconomicEmpowerment_OC_B,MATCH("4",ITT_EconomicEmpowerment_OC_A,0))="","",INDEX(ITT_EconomicEmpowerment_OC_B,MATCH("4",ITT_EconomicEmpowerment_OC_A,0))),"")</f>
        <v/>
      </c>
      <c r="E68" s="40" t="str">
        <f>IFERROR(IF(INDEX(ITT_EconomicEmpowerment_OC_E,MATCH("4",ITT_EconomicEmpowerment_OC_A,0))="","",INDEX(ITT_EconomicEmpowerment_OC_E,MATCH("4",ITT_EconomicEmpowerment_OC_A,0))),"")</f>
        <v/>
      </c>
      <c r="F68" s="40" t="str">
        <f>IFERROR(IF(INDEX(ITT_EconomicEmpowerment_OC_G,MATCH("4",ITT_EconomicEmpowerment_OC_A,0))="","",INDEX(ITT_EconomicEmpowerment_OC_G,MATCH("4",ITT_EconomicEmpowerment_OC_A,0))),"")</f>
        <v/>
      </c>
      <c r="G68" s="112" t="str">
        <f>IFERROR(IF(INDEX(ITT_EconomicEmpowerment_OC_J,MATCH("4",ITT_EconomicEmpowerment_OC_A,0))="","",INDEX(ITT_EconomicEmpowerment_OC_J,MATCH("4",ITT_EconomicEmpowerment_OC_A,0))),"")</f>
        <v/>
      </c>
      <c r="H68" s="112" t="str">
        <f>IFERROR(IF(INDEX(ITT_EconomicEmpowerment_OC_K,MATCH("4",ITT_EconomicEmpowerment_OC_A,0))="","",INDEX(ITT_EconomicEmpowerment_OC_K,MATCH("4",ITT_EconomicEmpowerment_OC_A,0))),"")</f>
        <v/>
      </c>
      <c r="I68" s="40"/>
      <c r="J68" s="40"/>
      <c r="K68" s="40"/>
      <c r="L68" s="40"/>
      <c r="M68" s="41" t="str">
        <f t="shared" si="5"/>
        <v/>
      </c>
      <c r="N68" s="40"/>
      <c r="O68" s="40"/>
      <c r="P68" s="40"/>
      <c r="Q68" s="40"/>
      <c r="R68" s="40"/>
      <c r="S68" s="157" t="str">
        <f t="shared" si="6"/>
        <v/>
      </c>
      <c r="T68" s="40"/>
      <c r="U68" s="40"/>
      <c r="V68" s="40"/>
      <c r="W68" s="40"/>
      <c r="X68" s="40"/>
      <c r="Y68" s="157" t="str">
        <f t="shared" si="7"/>
        <v/>
      </c>
      <c r="Z68" s="40"/>
      <c r="AA68" s="40"/>
      <c r="AB68" s="40"/>
      <c r="AC68" s="40"/>
      <c r="AD68" s="40"/>
      <c r="AE68" s="157" t="str">
        <f t="shared" si="8"/>
        <v/>
      </c>
      <c r="AF68" s="40"/>
      <c r="AG68" s="40"/>
      <c r="AH68" s="40"/>
      <c r="AI68" s="40"/>
      <c r="AJ68" s="40"/>
      <c r="AK68" s="157" t="str">
        <f t="shared" si="9"/>
        <v/>
      </c>
      <c r="AL68" s="40"/>
    </row>
    <row r="69" spans="1:38">
      <c r="A69" s="190"/>
      <c r="B69" s="194"/>
      <c r="C69" s="112" t="str">
        <f>IFERROR(IF(INDEX(ITT_EconomicEmpowerment_OC_A,MATCH("5",ITT_EconomicEmpowerment_OC_A,0))="","",INDEX(ITT_EconomicEmpowerment_OC_A,MATCH("5",ITT_EconomicEmpowerment_OC_A,0))),"")</f>
        <v>5</v>
      </c>
      <c r="D69" s="60" t="str">
        <f>IFERROR(IF(INDEX(ITT_EconomicEmpowerment_OC_B,MATCH("5",ITT_EconomicEmpowerment_OC_A,0))="","",INDEX(ITT_EconomicEmpowerment_OC_B,MATCH("5",ITT_EconomicEmpowerment_OC_A,0))),"")</f>
        <v/>
      </c>
      <c r="E69" s="40" t="str">
        <f>IFERROR(IF(INDEX(ITT_EconomicEmpowerment_OC_E,MATCH("5",ITT_EconomicEmpowerment_OC_A,0))="","",INDEX(ITT_EconomicEmpowerment_OC_E,MATCH("5",ITT_EconomicEmpowerment_OC_A,0))),"")</f>
        <v/>
      </c>
      <c r="F69" s="40" t="str">
        <f>IFERROR(IF(INDEX(ITT_EconomicEmpowerment_OC_G,MATCH("5",ITT_EconomicEmpowerment_OC_A,0))="","",INDEX(ITT_EconomicEmpowerment_OC_G,MATCH("5",ITT_EconomicEmpowerment_OC_A,0))),"")</f>
        <v/>
      </c>
      <c r="G69" s="112" t="str">
        <f>IFERROR(IF(INDEX(ITT_EconomicEmpowerment_OC_J,MATCH("5",ITT_EconomicEmpowerment_OC_A,0))="","",INDEX(ITT_EconomicEmpowerment_OC_J,MATCH("5",ITT_EconomicEmpowerment_OC_A,0))),"")</f>
        <v/>
      </c>
      <c r="H69" s="112" t="str">
        <f>IFERROR(IF(INDEX(ITT_EconomicEmpowerment_OC_K,MATCH("5",ITT_EconomicEmpowerment_OC_A,0))="","",INDEX(ITT_EconomicEmpowerment_OC_K,MATCH("5",ITT_EconomicEmpowerment_OC_A,0))),"")</f>
        <v/>
      </c>
      <c r="I69" s="40"/>
      <c r="J69" s="40"/>
      <c r="K69" s="40"/>
      <c r="L69" s="40"/>
      <c r="M69" s="41" t="str">
        <f t="shared" ref="M69:M100" si="10">IF(OR(L69="",$G69="",$H69=""),"",IF($H69-$G69=0,"",(L69-$G69)/($H69-$G69)))</f>
        <v/>
      </c>
      <c r="N69" s="40"/>
      <c r="O69" s="40"/>
      <c r="P69" s="40"/>
      <c r="Q69" s="40"/>
      <c r="R69" s="40"/>
      <c r="S69" s="157" t="str">
        <f t="shared" ref="S69:S100" si="11">IF(OR(R69="",$G69="",$H69=""),"",IF($H69-$G69=0,"",(R69-$G69)/($H69-$G69)))</f>
        <v/>
      </c>
      <c r="T69" s="40"/>
      <c r="U69" s="40"/>
      <c r="V69" s="40"/>
      <c r="W69" s="40"/>
      <c r="X69" s="40"/>
      <c r="Y69" s="157" t="str">
        <f t="shared" ref="Y69:Y100" si="12">IF(OR(X69="",$G69="",$H69=""),"",IF($H69-$G69=0,"",(X69-$G69)/($H69-$G69)))</f>
        <v/>
      </c>
      <c r="Z69" s="40"/>
      <c r="AA69" s="40"/>
      <c r="AB69" s="40"/>
      <c r="AC69" s="40"/>
      <c r="AD69" s="40"/>
      <c r="AE69" s="157" t="str">
        <f t="shared" ref="AE69:AE100" si="13">IF(OR(AD69="",$G69="",$H69=""),"",IF($H69-$G69=0,"",(AD69-$G69)/($H69-$G69)))</f>
        <v/>
      </c>
      <c r="AF69" s="40"/>
      <c r="AG69" s="40"/>
      <c r="AH69" s="40"/>
      <c r="AI69" s="40"/>
      <c r="AJ69" s="40"/>
      <c r="AK69" s="157" t="str">
        <f t="shared" ref="AK69:AK100" si="14">IF(OR(AJ69="",$G69="",$H69=""),"",IF($H69-$G69=0,"",(AJ69-$G69)/($H69-$G69)))</f>
        <v/>
      </c>
      <c r="AL69" s="40"/>
    </row>
    <row r="70" spans="1:38" ht="17.25" customHeight="1">
      <c r="A70" s="190"/>
      <c r="B70" s="361" t="s">
        <v>131</v>
      </c>
      <c r="C70" s="112" t="str">
        <f>IFERROR(IF(INDEX(ITT_EconomicEmpowerment_OP_A,MATCH("1.1",ITT_EconomicEmpowerment_OP_A,0))="","",INDEX(ITT_EconomicEmpowerment_OP_A,MATCH("1.1",ITT_EconomicEmpowerment_OP_A,0))),"")</f>
        <v>1.1</v>
      </c>
      <c r="D70" s="60" t="str">
        <f>IFERROR(IF(INDEX(ITT_EconomicEmpowerment_OP_B,MATCH("1.1",ITT_EconomicEmpowerment_OP_A,0))="","",INDEX(ITT_EconomicEmpowerment_OP_B,MATCH("1.1",ITT_EconomicEmpowerment_OP_A,0))),"")</f>
        <v/>
      </c>
      <c r="E70" s="40" t="str">
        <f>IFERROR(IF(INDEX(ITT_EconomicEmpowerment_OP_E,MATCH("1.1",ITT_EconomicEmpowerment_OP_A,0))="","",INDEX(ITT_EconomicEmpowerment_OP_E,MATCH("1.1",ITT_EconomicEmpowerment_OP_A,0))),"")</f>
        <v/>
      </c>
      <c r="F70" s="40" t="str">
        <f>IFERROR(IF(INDEX(ITT_EconomicEmpowerment_OP_G,MATCH("1.1",ITT_EconomicEmpowerment_OP_A,0))="","",INDEX(ITT_EconomicEmpowerment_OP_G,MATCH("1.1",ITT_EconomicEmpowerment_OP_A,0))),"")</f>
        <v/>
      </c>
      <c r="G70" s="112" t="str">
        <f>IFERROR(IF(INDEX(ITT_EconomicEmpowerment_OP_J,MATCH("1.1",ITT_EconomicEmpowerment_OP_A,0))="","",INDEX(ITT_EconomicEmpowerment_OP_J,MATCH("1.1",ITT_EconomicEmpowerment_OP_A,0))),"")</f>
        <v/>
      </c>
      <c r="H70" s="112" t="str">
        <f>IFERROR(IF(INDEX(ITT_EconomicEmpowerment_OP_K,MATCH("1.1",ITT_EconomicEmpowerment_OP_A,0))="","",INDEX(ITT_EconomicEmpowerment_OP_K,MATCH("1.1",ITT_EconomicEmpowerment_OP_A,0))),"")</f>
        <v/>
      </c>
      <c r="I70" s="40"/>
      <c r="J70" s="40"/>
      <c r="K70" s="40"/>
      <c r="L70" s="40"/>
      <c r="M70" s="41" t="str">
        <f t="shared" si="10"/>
        <v/>
      </c>
      <c r="N70" s="40"/>
      <c r="O70" s="40"/>
      <c r="P70" s="40"/>
      <c r="Q70" s="40"/>
      <c r="R70" s="40"/>
      <c r="S70" s="157" t="str">
        <f t="shared" si="11"/>
        <v/>
      </c>
      <c r="T70" s="40"/>
      <c r="U70" s="40"/>
      <c r="V70" s="40"/>
      <c r="W70" s="40"/>
      <c r="X70" s="40"/>
      <c r="Y70" s="157" t="str">
        <f t="shared" si="12"/>
        <v/>
      </c>
      <c r="Z70" s="40"/>
      <c r="AA70" s="40"/>
      <c r="AB70" s="40"/>
      <c r="AC70" s="40"/>
      <c r="AD70" s="40"/>
      <c r="AE70" s="157" t="str">
        <f t="shared" si="13"/>
        <v/>
      </c>
      <c r="AF70" s="40"/>
      <c r="AG70" s="40"/>
      <c r="AH70" s="40"/>
      <c r="AI70" s="40"/>
      <c r="AJ70" s="40"/>
      <c r="AK70" s="157" t="str">
        <f t="shared" si="14"/>
        <v/>
      </c>
      <c r="AL70" s="40"/>
    </row>
    <row r="71" spans="1:38">
      <c r="A71" s="190"/>
      <c r="B71" s="190"/>
      <c r="C71" s="112" t="str">
        <f>IFERROR(IF(INDEX(ITT_EconomicEmpowerment_OP_A,MATCH("1.2",ITT_EconomicEmpowerment_OP_A,0))="","",INDEX(ITT_EconomicEmpowerment_OP_A,MATCH("1.2",ITT_EconomicEmpowerment_OP_A,0))),"")</f>
        <v>1.2</v>
      </c>
      <c r="D71" s="60" t="str">
        <f>IFERROR(IF(INDEX(ITT_EconomicEmpowerment_OP_B,MATCH("1.2",ITT_EconomicEmpowerment_OP_A,0))="","",INDEX(ITT_EconomicEmpowerment_OP_B,MATCH("1.2",ITT_EconomicEmpowerment_OP_A,0))),"")</f>
        <v/>
      </c>
      <c r="E71" s="40" t="str">
        <f>IFERROR(IF(INDEX(ITT_EconomicEmpowerment_OP_E,MATCH("1.2",ITT_EconomicEmpowerment_OP_A,0))="","",INDEX(ITT_EconomicEmpowerment_OP_E,MATCH("1.2",ITT_EconomicEmpowerment_OP_A,0))),"")</f>
        <v/>
      </c>
      <c r="F71" s="40" t="str">
        <f>IFERROR(IF(INDEX(ITT_EconomicEmpowerment_OP_G,MATCH("1.2",ITT_EconomicEmpowerment_OP_A,0))="","",INDEX(ITT_EconomicEmpowerment_OP_G,MATCH("1.2",ITT_EconomicEmpowerment_OP_A,0))),"")</f>
        <v/>
      </c>
      <c r="G71" s="112" t="str">
        <f>IFERROR(IF(INDEX(ITT_EconomicEmpowerment_OP_J,MATCH("1.2",ITT_EconomicEmpowerment_OP_A,0))="","",INDEX(ITT_EconomicEmpowerment_OP_J,MATCH("1.2",ITT_EconomicEmpowerment_OP_A,0))),"")</f>
        <v/>
      </c>
      <c r="H71" s="112" t="str">
        <f>IFERROR(IF(INDEX(ITT_EconomicEmpowerment_OP_K,MATCH("1.2",ITT_EconomicEmpowerment_OP_A,0))="","",INDEX(ITT_EconomicEmpowerment_OP_K,MATCH("1.2",ITT_EconomicEmpowerment_OP_A,0))),"")</f>
        <v/>
      </c>
      <c r="I71" s="40"/>
      <c r="J71" s="40"/>
      <c r="K71" s="40"/>
      <c r="L71" s="40"/>
      <c r="M71" s="41" t="str">
        <f t="shared" si="10"/>
        <v/>
      </c>
      <c r="N71" s="40"/>
      <c r="O71" s="40"/>
      <c r="P71" s="40"/>
      <c r="Q71" s="40"/>
      <c r="R71" s="40"/>
      <c r="S71" s="157" t="str">
        <f t="shared" si="11"/>
        <v/>
      </c>
      <c r="T71" s="40"/>
      <c r="U71" s="40"/>
      <c r="V71" s="40"/>
      <c r="W71" s="40"/>
      <c r="X71" s="40"/>
      <c r="Y71" s="157" t="str">
        <f t="shared" si="12"/>
        <v/>
      </c>
      <c r="Z71" s="40"/>
      <c r="AA71" s="40"/>
      <c r="AB71" s="40"/>
      <c r="AC71" s="40"/>
      <c r="AD71" s="40"/>
      <c r="AE71" s="157" t="str">
        <f t="shared" si="13"/>
        <v/>
      </c>
      <c r="AF71" s="40"/>
      <c r="AG71" s="40"/>
      <c r="AH71" s="40"/>
      <c r="AI71" s="40"/>
      <c r="AJ71" s="40"/>
      <c r="AK71" s="157" t="str">
        <f t="shared" si="14"/>
        <v/>
      </c>
      <c r="AL71" s="40"/>
    </row>
    <row r="72" spans="1:38">
      <c r="A72" s="190"/>
      <c r="B72" s="190"/>
      <c r="C72" s="112" t="str">
        <f>IFERROR(IF(INDEX(ITT_EconomicEmpowerment_OP_A,MATCH("1.3",ITT_EconomicEmpowerment_OP_A,0))="","",INDEX(ITT_EconomicEmpowerment_OP_A,MATCH("1.3",ITT_EconomicEmpowerment_OP_A,0))),"")</f>
        <v>1.3</v>
      </c>
      <c r="D72" s="60" t="str">
        <f>IFERROR(IF(INDEX(ITT_EconomicEmpowerment_OP_B,MATCH("1.3",ITT_EconomicEmpowerment_OP_A,0))="","",INDEX(ITT_EconomicEmpowerment_OP_B,MATCH("1.3",ITT_EconomicEmpowerment_OP_A,0))),"")</f>
        <v/>
      </c>
      <c r="E72" s="40" t="str">
        <f>IFERROR(IF(INDEX(ITT_EconomicEmpowerment_OP_E,MATCH("1.3",ITT_EconomicEmpowerment_OP_A,0))="","",INDEX(ITT_EconomicEmpowerment_OP_E,MATCH("1.3",ITT_EconomicEmpowerment_OP_A,0))),"")</f>
        <v/>
      </c>
      <c r="F72" s="40" t="str">
        <f>IFERROR(IF(INDEX(ITT_EconomicEmpowerment_OP_G,MATCH("1.3",ITT_EconomicEmpowerment_OP_A,0))="","",INDEX(ITT_EconomicEmpowerment_OP_G,MATCH("1.3",ITT_EconomicEmpowerment_OP_A,0))),"")</f>
        <v/>
      </c>
      <c r="G72" s="112" t="str">
        <f>IFERROR(IF(INDEX(ITT_EconomicEmpowerment_OP_J,MATCH("1.3",ITT_EconomicEmpowerment_OP_A,0))="","",INDEX(ITT_EconomicEmpowerment_OP_J,MATCH("1.3",ITT_EconomicEmpowerment_OP_A,0))),"")</f>
        <v/>
      </c>
      <c r="H72" s="112" t="str">
        <f>IFERROR(IF(INDEX(ITT_EconomicEmpowerment_OP_K,MATCH("1.3",ITT_EconomicEmpowerment_OP_A,0))="","",INDEX(ITT_EconomicEmpowerment_OP_K,MATCH("1.3",ITT_EconomicEmpowerment_OP_A,0))),"")</f>
        <v/>
      </c>
      <c r="I72" s="40"/>
      <c r="J72" s="40"/>
      <c r="K72" s="40"/>
      <c r="L72" s="40"/>
      <c r="M72" s="41" t="str">
        <f t="shared" si="10"/>
        <v/>
      </c>
      <c r="N72" s="40"/>
      <c r="O72" s="40"/>
      <c r="P72" s="40"/>
      <c r="Q72" s="40"/>
      <c r="R72" s="40"/>
      <c r="S72" s="157" t="str">
        <f t="shared" si="11"/>
        <v/>
      </c>
      <c r="T72" s="40"/>
      <c r="U72" s="40"/>
      <c r="V72" s="40"/>
      <c r="W72" s="40"/>
      <c r="X72" s="40"/>
      <c r="Y72" s="157" t="str">
        <f t="shared" si="12"/>
        <v/>
      </c>
      <c r="Z72" s="40"/>
      <c r="AA72" s="40"/>
      <c r="AB72" s="40"/>
      <c r="AC72" s="40"/>
      <c r="AD72" s="40"/>
      <c r="AE72" s="157" t="str">
        <f t="shared" si="13"/>
        <v/>
      </c>
      <c r="AF72" s="40"/>
      <c r="AG72" s="40"/>
      <c r="AH72" s="40"/>
      <c r="AI72" s="40"/>
      <c r="AJ72" s="40"/>
      <c r="AK72" s="157" t="str">
        <f t="shared" si="14"/>
        <v/>
      </c>
      <c r="AL72" s="40"/>
    </row>
    <row r="73" spans="1:38">
      <c r="A73" s="190"/>
      <c r="B73" s="190"/>
      <c r="C73" s="112" t="str">
        <f>IFERROR(IF(INDEX(ITT_EconomicEmpowerment_OP_A,MATCH("2.1",ITT_EconomicEmpowerment_OP_A,0))="","",INDEX(ITT_EconomicEmpowerment_OP_A,MATCH("2.1",ITT_EconomicEmpowerment_OP_A,0))),"")</f>
        <v>2.1</v>
      </c>
      <c r="D73" s="60" t="str">
        <f>IFERROR(IF(INDEX(ITT_EconomicEmpowerment_OP_B,MATCH("2.1",ITT_EconomicEmpowerment_OP_A,0))="","",INDEX(ITT_EconomicEmpowerment_OP_B,MATCH("2.1",ITT_EconomicEmpowerment_OP_A,0))),"")</f>
        <v/>
      </c>
      <c r="E73" s="40" t="str">
        <f>IFERROR(IF(INDEX(ITT_EconomicEmpowerment_OP_E,MATCH("2.1",ITT_EconomicEmpowerment_OP_A,0))="","",INDEX(ITT_EconomicEmpowerment_OP_E,MATCH("2.1",ITT_EconomicEmpowerment_OP_A,0))),"")</f>
        <v/>
      </c>
      <c r="F73" s="40" t="str">
        <f>IFERROR(IF(INDEX(ITT_EconomicEmpowerment_OP_G,MATCH("2.1",ITT_EconomicEmpowerment_OP_A,0))="","",INDEX(ITT_EconomicEmpowerment_OP_G,MATCH("2.1",ITT_EconomicEmpowerment_OP_A,0))),"")</f>
        <v/>
      </c>
      <c r="G73" s="112" t="str">
        <f>IFERROR(IF(INDEX(ITT_EconomicEmpowerment_OP_J,MATCH("2.1",ITT_EconomicEmpowerment_OP_A,0))="","",INDEX(ITT_EconomicEmpowerment_OP_J,MATCH("2.1",ITT_EconomicEmpowerment_OP_A,0))),"")</f>
        <v/>
      </c>
      <c r="H73" s="112" t="str">
        <f>IFERROR(IF(INDEX(ITT_EconomicEmpowerment_OP_K,MATCH("2.1",ITT_EconomicEmpowerment_OP_A,0))="","",INDEX(ITT_EconomicEmpowerment_OP_K,MATCH("2.1",ITT_EconomicEmpowerment_OP_A,0))),"")</f>
        <v/>
      </c>
      <c r="I73" s="40"/>
      <c r="J73" s="40"/>
      <c r="K73" s="40"/>
      <c r="L73" s="40"/>
      <c r="M73" s="41" t="str">
        <f t="shared" si="10"/>
        <v/>
      </c>
      <c r="N73" s="40"/>
      <c r="O73" s="40"/>
      <c r="P73" s="40"/>
      <c r="Q73" s="40"/>
      <c r="R73" s="40"/>
      <c r="S73" s="157" t="str">
        <f t="shared" si="11"/>
        <v/>
      </c>
      <c r="T73" s="40"/>
      <c r="U73" s="40"/>
      <c r="V73" s="40"/>
      <c r="W73" s="40"/>
      <c r="X73" s="40"/>
      <c r="Y73" s="157" t="str">
        <f t="shared" si="12"/>
        <v/>
      </c>
      <c r="Z73" s="40"/>
      <c r="AA73" s="40"/>
      <c r="AB73" s="40"/>
      <c r="AC73" s="40"/>
      <c r="AD73" s="40"/>
      <c r="AE73" s="157" t="str">
        <f t="shared" si="13"/>
        <v/>
      </c>
      <c r="AF73" s="40"/>
      <c r="AG73" s="40"/>
      <c r="AH73" s="40"/>
      <c r="AI73" s="40"/>
      <c r="AJ73" s="40"/>
      <c r="AK73" s="157" t="str">
        <f t="shared" si="14"/>
        <v/>
      </c>
      <c r="AL73" s="40"/>
    </row>
    <row r="74" spans="1:38">
      <c r="A74" s="190"/>
      <c r="B74" s="190"/>
      <c r="C74" s="112" t="str">
        <f>IFERROR(IF(INDEX(ITT_EconomicEmpowerment_OP_A,MATCH("2.2",ITT_EconomicEmpowerment_OP_A,0))="","",INDEX(ITT_EconomicEmpowerment_OP_A,MATCH("2.2",ITT_EconomicEmpowerment_OP_A,0))),"")</f>
        <v>2.2</v>
      </c>
      <c r="D74" s="60" t="str">
        <f>IFERROR(IF(INDEX(ITT_EconomicEmpowerment_OP_B,MATCH("2.2",ITT_EconomicEmpowerment_OP_A,0))="","",INDEX(ITT_EconomicEmpowerment_OP_B,MATCH("2.2",ITT_EconomicEmpowerment_OP_A,0))),"")</f>
        <v/>
      </c>
      <c r="E74" s="40" t="str">
        <f>IFERROR(IF(INDEX(ITT_EconomicEmpowerment_OP_E,MATCH("2.2",ITT_EconomicEmpowerment_OP_A,0))="","",INDEX(ITT_EconomicEmpowerment_OP_E,MATCH("2.2",ITT_EconomicEmpowerment_OP_A,0))),"")</f>
        <v/>
      </c>
      <c r="F74" s="40" t="str">
        <f>IFERROR(IF(INDEX(ITT_EconomicEmpowerment_OP_G,MATCH("2.2",ITT_EconomicEmpowerment_OP_A,0))="","",INDEX(ITT_EconomicEmpowerment_OP_G,MATCH("2.2",ITT_EconomicEmpowerment_OP_A,0))),"")</f>
        <v/>
      </c>
      <c r="G74" s="112" t="str">
        <f>IFERROR(IF(INDEX(ITT_EconomicEmpowerment_OP_J,MATCH("2.2",ITT_EconomicEmpowerment_OP_A,0))="","",INDEX(ITT_EconomicEmpowerment_OP_J,MATCH("2.2",ITT_EconomicEmpowerment_OP_A,0))),"")</f>
        <v/>
      </c>
      <c r="H74" s="112" t="str">
        <f>IFERROR(IF(INDEX(ITT_EconomicEmpowerment_OP_K,MATCH("2.2",ITT_EconomicEmpowerment_OP_A,0))="","",INDEX(ITT_EconomicEmpowerment_OP_K,MATCH("2.2",ITT_EconomicEmpowerment_OP_A,0))),"")</f>
        <v/>
      </c>
      <c r="I74" s="40"/>
      <c r="J74" s="40"/>
      <c r="K74" s="40"/>
      <c r="L74" s="40"/>
      <c r="M74" s="41" t="str">
        <f t="shared" si="10"/>
        <v/>
      </c>
      <c r="N74" s="40"/>
      <c r="O74" s="40"/>
      <c r="P74" s="40"/>
      <c r="Q74" s="40"/>
      <c r="R74" s="40"/>
      <c r="S74" s="157" t="str">
        <f t="shared" si="11"/>
        <v/>
      </c>
      <c r="T74" s="40"/>
      <c r="U74" s="40"/>
      <c r="V74" s="40"/>
      <c r="W74" s="40"/>
      <c r="X74" s="40"/>
      <c r="Y74" s="157" t="str">
        <f t="shared" si="12"/>
        <v/>
      </c>
      <c r="Z74" s="40"/>
      <c r="AA74" s="40"/>
      <c r="AB74" s="40"/>
      <c r="AC74" s="40"/>
      <c r="AD74" s="40"/>
      <c r="AE74" s="157" t="str">
        <f t="shared" si="13"/>
        <v/>
      </c>
      <c r="AF74" s="40"/>
      <c r="AG74" s="40"/>
      <c r="AH74" s="40"/>
      <c r="AI74" s="40"/>
      <c r="AJ74" s="40"/>
      <c r="AK74" s="157" t="str">
        <f t="shared" si="14"/>
        <v/>
      </c>
      <c r="AL74" s="40"/>
    </row>
    <row r="75" spans="1:38">
      <c r="A75" s="190"/>
      <c r="B75" s="190"/>
      <c r="C75" s="112" t="str">
        <f>IFERROR(IF(INDEX(ITT_EconomicEmpowerment_OP_A,MATCH("2.3",ITT_EconomicEmpowerment_OP_A,0))="","",INDEX(ITT_EconomicEmpowerment_OP_A,MATCH("2.3",ITT_EconomicEmpowerment_OP_A,0))),"")</f>
        <v>2.3</v>
      </c>
      <c r="D75" s="60" t="str">
        <f>IFERROR(IF(INDEX(ITT_EconomicEmpowerment_OP_B,MATCH("2.3",ITT_EconomicEmpowerment_OP_A,0))="","",INDEX(ITT_EconomicEmpowerment_OP_B,MATCH("2.3",ITT_EconomicEmpowerment_OP_A,0))),"")</f>
        <v/>
      </c>
      <c r="E75" s="40" t="str">
        <f>IFERROR(IF(INDEX(ITT_EconomicEmpowerment_OP_E,MATCH("2.3",ITT_EconomicEmpowerment_OP_A,0))="","",INDEX(ITT_EconomicEmpowerment_OP_E,MATCH("2.3",ITT_EconomicEmpowerment_OP_A,0))),"")</f>
        <v/>
      </c>
      <c r="F75" s="40" t="str">
        <f>IFERROR(IF(INDEX(ITT_EconomicEmpowerment_OP_G,MATCH("2.3",ITT_EconomicEmpowerment_OP_A,0))="","",INDEX(ITT_EconomicEmpowerment_OP_G,MATCH("2.3",ITT_EconomicEmpowerment_OP_A,0))),"")</f>
        <v/>
      </c>
      <c r="G75" s="112" t="str">
        <f>IFERROR(IF(INDEX(ITT_EconomicEmpowerment_OP_J,MATCH("2.3",ITT_EconomicEmpowerment_OP_A,0))="","",INDEX(ITT_EconomicEmpowerment_OP_J,MATCH("2.3",ITT_EconomicEmpowerment_OP_A,0))),"")</f>
        <v/>
      </c>
      <c r="H75" s="112" t="str">
        <f>IFERROR(IF(INDEX(ITT_EconomicEmpowerment_OP_K,MATCH("2.3",ITT_EconomicEmpowerment_OP_A,0))="","",INDEX(ITT_EconomicEmpowerment_OP_K,MATCH("2.3",ITT_EconomicEmpowerment_OP_A,0))),"")</f>
        <v/>
      </c>
      <c r="I75" s="40"/>
      <c r="J75" s="40"/>
      <c r="K75" s="40"/>
      <c r="L75" s="40"/>
      <c r="M75" s="41" t="str">
        <f t="shared" si="10"/>
        <v/>
      </c>
      <c r="N75" s="40"/>
      <c r="O75" s="40"/>
      <c r="P75" s="40"/>
      <c r="Q75" s="40"/>
      <c r="R75" s="40"/>
      <c r="S75" s="157" t="str">
        <f t="shared" si="11"/>
        <v/>
      </c>
      <c r="T75" s="40"/>
      <c r="U75" s="40"/>
      <c r="V75" s="40"/>
      <c r="W75" s="40"/>
      <c r="X75" s="40"/>
      <c r="Y75" s="157" t="str">
        <f t="shared" si="12"/>
        <v/>
      </c>
      <c r="Z75" s="40"/>
      <c r="AA75" s="40"/>
      <c r="AB75" s="40"/>
      <c r="AC75" s="40"/>
      <c r="AD75" s="40"/>
      <c r="AE75" s="157" t="str">
        <f t="shared" si="13"/>
        <v/>
      </c>
      <c r="AF75" s="40"/>
      <c r="AG75" s="40"/>
      <c r="AH75" s="40"/>
      <c r="AI75" s="40"/>
      <c r="AJ75" s="40"/>
      <c r="AK75" s="157" t="str">
        <f t="shared" si="14"/>
        <v/>
      </c>
      <c r="AL75" s="40"/>
    </row>
    <row r="76" spans="1:38">
      <c r="A76" s="190"/>
      <c r="B76" s="190"/>
      <c r="C76" s="112" t="str">
        <f>IFERROR(IF(INDEX(ITT_EconomicEmpowerment_OP_A,MATCH("3.1",ITT_EconomicEmpowerment_OP_A,0))="","",INDEX(ITT_EconomicEmpowerment_OP_A,MATCH("3.1",ITT_EconomicEmpowerment_OP_A,0))),"")</f>
        <v>3.1</v>
      </c>
      <c r="D76" s="60" t="str">
        <f>IFERROR(IF(INDEX(ITT_EconomicEmpowerment_OP_B,MATCH("3.1",ITT_EconomicEmpowerment_OP_A,0))="","",INDEX(ITT_EconomicEmpowerment_OP_B,MATCH("3.1",ITT_EconomicEmpowerment_OP_A,0))),"")</f>
        <v/>
      </c>
      <c r="E76" s="40" t="str">
        <f>IFERROR(IF(INDEX(ITT_EconomicEmpowerment_OP_E,MATCH("3.1",ITT_EconomicEmpowerment_OP_A,0))="","",INDEX(ITT_EconomicEmpowerment_OP_E,MATCH("3.1",ITT_EconomicEmpowerment_OP_A,0))),"")</f>
        <v/>
      </c>
      <c r="F76" s="40" t="str">
        <f>IFERROR(IF(INDEX(ITT_EconomicEmpowerment_OP_G,MATCH("3.1",ITT_EconomicEmpowerment_OP_A,0))="","",INDEX(ITT_EconomicEmpowerment_OP_G,MATCH("3.1",ITT_EconomicEmpowerment_OP_A,0))),"")</f>
        <v/>
      </c>
      <c r="G76" s="112" t="str">
        <f>IFERROR(IF(INDEX(ITT_EconomicEmpowerment_OP_J,MATCH("3.1",ITT_EconomicEmpowerment_OP_A,0))="","",INDEX(ITT_EconomicEmpowerment_OP_J,MATCH("3.1",ITT_EconomicEmpowerment_OP_A,0))),"")</f>
        <v/>
      </c>
      <c r="H76" s="112" t="str">
        <f>IFERROR(IF(INDEX(ITT_EconomicEmpowerment_OP_K,MATCH("3.1",ITT_EconomicEmpowerment_OP_A,0))="","",INDEX(ITT_EconomicEmpowerment_OP_K,MATCH("3.1",ITT_EconomicEmpowerment_OP_A,0))),"")</f>
        <v/>
      </c>
      <c r="I76" s="40"/>
      <c r="J76" s="40"/>
      <c r="K76" s="40"/>
      <c r="L76" s="40"/>
      <c r="M76" s="41" t="str">
        <f t="shared" si="10"/>
        <v/>
      </c>
      <c r="N76" s="40"/>
      <c r="O76" s="40"/>
      <c r="P76" s="40"/>
      <c r="Q76" s="40"/>
      <c r="R76" s="40"/>
      <c r="S76" s="157" t="str">
        <f t="shared" si="11"/>
        <v/>
      </c>
      <c r="T76" s="40"/>
      <c r="U76" s="40"/>
      <c r="V76" s="40"/>
      <c r="W76" s="40"/>
      <c r="X76" s="40"/>
      <c r="Y76" s="157" t="str">
        <f t="shared" si="12"/>
        <v/>
      </c>
      <c r="Z76" s="40"/>
      <c r="AA76" s="40"/>
      <c r="AB76" s="40"/>
      <c r="AC76" s="40"/>
      <c r="AD76" s="40"/>
      <c r="AE76" s="157" t="str">
        <f t="shared" si="13"/>
        <v/>
      </c>
      <c r="AF76" s="40"/>
      <c r="AG76" s="40"/>
      <c r="AH76" s="40"/>
      <c r="AI76" s="40"/>
      <c r="AJ76" s="40"/>
      <c r="AK76" s="157" t="str">
        <f t="shared" si="14"/>
        <v/>
      </c>
      <c r="AL76" s="40"/>
    </row>
    <row r="77" spans="1:38">
      <c r="A77" s="190"/>
      <c r="B77" s="190"/>
      <c r="C77" s="112" t="str">
        <f>IFERROR(IF(INDEX(ITT_EconomicEmpowerment_OP_A,MATCH("3.2",ITT_EconomicEmpowerment_OP_A,0))="","",INDEX(ITT_EconomicEmpowerment_OP_A,MATCH("3.2",ITT_EconomicEmpowerment_OP_A,0))),"")</f>
        <v>3.2</v>
      </c>
      <c r="D77" s="60" t="str">
        <f>IFERROR(IF(INDEX(ITT_EconomicEmpowerment_OP_B,MATCH("3.2",ITT_EconomicEmpowerment_OP_A,0))="","",INDEX(ITT_EconomicEmpowerment_OP_B,MATCH("3.2",ITT_EconomicEmpowerment_OP_A,0))),"")</f>
        <v/>
      </c>
      <c r="E77" s="40" t="str">
        <f>IFERROR(IF(INDEX(ITT_EconomicEmpowerment_OP_E,MATCH("3.2",ITT_EconomicEmpowerment_OP_A,0))="","",INDEX(ITT_EconomicEmpowerment_OP_E,MATCH("3.2",ITT_EconomicEmpowerment_OP_A,0))),"")</f>
        <v/>
      </c>
      <c r="F77" s="40" t="str">
        <f>IFERROR(IF(INDEX(ITT_EconomicEmpowerment_OP_G,MATCH("3.2",ITT_EconomicEmpowerment_OP_A,0))="","",INDEX(ITT_EconomicEmpowerment_OP_G,MATCH("3.2",ITT_EconomicEmpowerment_OP_A,0))),"")</f>
        <v/>
      </c>
      <c r="G77" s="112" t="str">
        <f>IFERROR(IF(INDEX(ITT_EconomicEmpowerment_OP_J,MATCH("3.2",ITT_EconomicEmpowerment_OP_A,0))="","",INDEX(ITT_EconomicEmpowerment_OP_J,MATCH("3.2",ITT_EconomicEmpowerment_OP_A,0))),"")</f>
        <v/>
      </c>
      <c r="H77" s="112" t="str">
        <f>IFERROR(IF(INDEX(ITT_EconomicEmpowerment_OP_K,MATCH("3.2",ITT_EconomicEmpowerment_OP_A,0))="","",INDEX(ITT_EconomicEmpowerment_OP_K,MATCH("3.2",ITT_EconomicEmpowerment_OP_A,0))),"")</f>
        <v/>
      </c>
      <c r="I77" s="40"/>
      <c r="J77" s="40"/>
      <c r="K77" s="40"/>
      <c r="L77" s="40"/>
      <c r="M77" s="41" t="str">
        <f t="shared" si="10"/>
        <v/>
      </c>
      <c r="N77" s="40"/>
      <c r="O77" s="40"/>
      <c r="P77" s="40"/>
      <c r="Q77" s="40"/>
      <c r="R77" s="40"/>
      <c r="S77" s="157" t="str">
        <f t="shared" si="11"/>
        <v/>
      </c>
      <c r="T77" s="40"/>
      <c r="U77" s="40"/>
      <c r="V77" s="40"/>
      <c r="W77" s="40"/>
      <c r="X77" s="40"/>
      <c r="Y77" s="157" t="str">
        <f t="shared" si="12"/>
        <v/>
      </c>
      <c r="Z77" s="40"/>
      <c r="AA77" s="40"/>
      <c r="AB77" s="40"/>
      <c r="AC77" s="40"/>
      <c r="AD77" s="40"/>
      <c r="AE77" s="157" t="str">
        <f t="shared" si="13"/>
        <v/>
      </c>
      <c r="AF77" s="40"/>
      <c r="AG77" s="40"/>
      <c r="AH77" s="40"/>
      <c r="AI77" s="40"/>
      <c r="AJ77" s="40"/>
      <c r="AK77" s="157" t="str">
        <f t="shared" si="14"/>
        <v/>
      </c>
      <c r="AL77" s="40"/>
    </row>
    <row r="78" spans="1:38">
      <c r="A78" s="190"/>
      <c r="B78" s="190"/>
      <c r="C78" s="112" t="str">
        <f>IFERROR(IF(INDEX(ITT_EconomicEmpowerment_OP_A,MATCH("3.3",ITT_EconomicEmpowerment_OP_A,0))="","",INDEX(ITT_EconomicEmpowerment_OP_A,MATCH("3.3",ITT_EconomicEmpowerment_OP_A,0))),"")</f>
        <v>3.3</v>
      </c>
      <c r="D78" s="60" t="str">
        <f>IFERROR(IF(INDEX(ITT_EconomicEmpowerment_OP_B,MATCH("3.3",ITT_EconomicEmpowerment_OP_A,0))="","",INDEX(ITT_EconomicEmpowerment_OP_B,MATCH("3.3",ITT_EconomicEmpowerment_OP_A,0))),"")</f>
        <v/>
      </c>
      <c r="E78" s="40" t="str">
        <f>IFERROR(IF(INDEX(ITT_EconomicEmpowerment_OP_E,MATCH("3.3",ITT_EconomicEmpowerment_OP_A,0))="","",INDEX(ITT_EconomicEmpowerment_OP_E,MATCH("3.3",ITT_EconomicEmpowerment_OP_A,0))),"")</f>
        <v/>
      </c>
      <c r="F78" s="40" t="str">
        <f>IFERROR(IF(INDEX(ITT_EconomicEmpowerment_OP_G,MATCH("3.3",ITT_EconomicEmpowerment_OP_A,0))="","",INDEX(ITT_EconomicEmpowerment_OP_G,MATCH("3.3",ITT_EconomicEmpowerment_OP_A,0))),"")</f>
        <v/>
      </c>
      <c r="G78" s="112" t="str">
        <f>IFERROR(IF(INDEX(ITT_EconomicEmpowerment_OP_J,MATCH("3.3",ITT_EconomicEmpowerment_OP_A,0))="","",INDEX(ITT_EconomicEmpowerment_OP_J,MATCH("3.3",ITT_EconomicEmpowerment_OP_A,0))),"")</f>
        <v/>
      </c>
      <c r="H78" s="112" t="str">
        <f>IFERROR(IF(INDEX(ITT_EconomicEmpowerment_OP_K,MATCH("3.3",ITT_EconomicEmpowerment_OP_A,0))="","",INDEX(ITT_EconomicEmpowerment_OP_K,MATCH("3.3",ITT_EconomicEmpowerment_OP_A,0))),"")</f>
        <v/>
      </c>
      <c r="I78" s="40"/>
      <c r="J78" s="40"/>
      <c r="K78" s="40"/>
      <c r="L78" s="40"/>
      <c r="M78" s="41" t="str">
        <f t="shared" si="10"/>
        <v/>
      </c>
      <c r="N78" s="40"/>
      <c r="O78" s="40"/>
      <c r="P78" s="40"/>
      <c r="Q78" s="40"/>
      <c r="R78" s="40"/>
      <c r="S78" s="157" t="str">
        <f t="shared" si="11"/>
        <v/>
      </c>
      <c r="T78" s="40"/>
      <c r="U78" s="40"/>
      <c r="V78" s="40"/>
      <c r="W78" s="40"/>
      <c r="X78" s="40"/>
      <c r="Y78" s="157" t="str">
        <f t="shared" si="12"/>
        <v/>
      </c>
      <c r="Z78" s="40"/>
      <c r="AA78" s="40"/>
      <c r="AB78" s="40"/>
      <c r="AC78" s="40"/>
      <c r="AD78" s="40"/>
      <c r="AE78" s="157" t="str">
        <f t="shared" si="13"/>
        <v/>
      </c>
      <c r="AF78" s="40"/>
      <c r="AG78" s="40"/>
      <c r="AH78" s="40"/>
      <c r="AI78" s="40"/>
      <c r="AJ78" s="40"/>
      <c r="AK78" s="157" t="str">
        <f t="shared" si="14"/>
        <v/>
      </c>
      <c r="AL78" s="40"/>
    </row>
    <row r="79" spans="1:38">
      <c r="A79" s="190"/>
      <c r="B79" s="190"/>
      <c r="C79" s="112" t="str">
        <f>IFERROR(IF(INDEX(ITT_EconomicEmpowerment_OP_A,MATCH("4.1",ITT_EconomicEmpowerment_OP_A,0))="","",INDEX(ITT_EconomicEmpowerment_OP_A,MATCH("4.1",ITT_EconomicEmpowerment_OP_A,0))),"")</f>
        <v>4.1</v>
      </c>
      <c r="D79" s="60" t="str">
        <f>IFERROR(IF(INDEX(ITT_EconomicEmpowerment_OP_B,MATCH("4.1",ITT_EconomicEmpowerment_OP_A,0))="","",INDEX(ITT_EconomicEmpowerment_OP_B,MATCH("4.1",ITT_EconomicEmpowerment_OP_A,0))),"")</f>
        <v/>
      </c>
      <c r="E79" s="40" t="str">
        <f>IFERROR(IF(INDEX(ITT_EconomicEmpowerment_OP_E,MATCH("4.1",ITT_EconomicEmpowerment_OP_A,0))="","",INDEX(ITT_EconomicEmpowerment_OP_E,MATCH("4.1",ITT_EconomicEmpowerment_OP_A,0))),"")</f>
        <v/>
      </c>
      <c r="F79" s="40" t="str">
        <f>IFERROR(IF(INDEX(ITT_EconomicEmpowerment_OP_G,MATCH("4.1",ITT_EconomicEmpowerment_OP_A,0))="","",INDEX(ITT_EconomicEmpowerment_OP_G,MATCH("4.1",ITT_EconomicEmpowerment_OP_A,0))),"")</f>
        <v/>
      </c>
      <c r="G79" s="112" t="str">
        <f>IFERROR(IF(INDEX(ITT_EconomicEmpowerment_OP_J,MATCH("4.1",ITT_EconomicEmpowerment_OP_A,0))="","",INDEX(ITT_EconomicEmpowerment_OP_J,MATCH("4.1",ITT_EconomicEmpowerment_OP_A,0))),"")</f>
        <v/>
      </c>
      <c r="H79" s="112" t="str">
        <f>IFERROR(IF(INDEX(ITT_EconomicEmpowerment_OP_K,MATCH("4.1",ITT_EconomicEmpowerment_OP_A,0))="","",INDEX(ITT_EconomicEmpowerment_OP_K,MATCH("4.1",ITT_EconomicEmpowerment_OP_A,0))),"")</f>
        <v/>
      </c>
      <c r="I79" s="40"/>
      <c r="J79" s="40"/>
      <c r="K79" s="40"/>
      <c r="L79" s="40"/>
      <c r="M79" s="41" t="str">
        <f t="shared" si="10"/>
        <v/>
      </c>
      <c r="N79" s="40"/>
      <c r="O79" s="40"/>
      <c r="P79" s="40"/>
      <c r="Q79" s="40"/>
      <c r="R79" s="40"/>
      <c r="S79" s="157" t="str">
        <f t="shared" si="11"/>
        <v/>
      </c>
      <c r="T79" s="40"/>
      <c r="U79" s="40"/>
      <c r="V79" s="40"/>
      <c r="W79" s="40"/>
      <c r="X79" s="40"/>
      <c r="Y79" s="157" t="str">
        <f t="shared" si="12"/>
        <v/>
      </c>
      <c r="Z79" s="40"/>
      <c r="AA79" s="40"/>
      <c r="AB79" s="40"/>
      <c r="AC79" s="40"/>
      <c r="AD79" s="40"/>
      <c r="AE79" s="157" t="str">
        <f t="shared" si="13"/>
        <v/>
      </c>
      <c r="AF79" s="40"/>
      <c r="AG79" s="40"/>
      <c r="AH79" s="40"/>
      <c r="AI79" s="40"/>
      <c r="AJ79" s="40"/>
      <c r="AK79" s="157" t="str">
        <f t="shared" si="14"/>
        <v/>
      </c>
      <c r="AL79" s="40"/>
    </row>
    <row r="80" spans="1:38">
      <c r="A80" s="190"/>
      <c r="B80" s="190"/>
      <c r="C80" s="112" t="str">
        <f>IFERROR(IF(INDEX(ITT_EconomicEmpowerment_OP_A,MATCH("4.2",ITT_EconomicEmpowerment_OP_A,0))="","",INDEX(ITT_EconomicEmpowerment_OP_A,MATCH("4.2",ITT_EconomicEmpowerment_OP_A,0))),"")</f>
        <v>4.2</v>
      </c>
      <c r="D80" s="60" t="str">
        <f>IFERROR(IF(INDEX(ITT_EconomicEmpowerment_OP_B,MATCH("4.2",ITT_EconomicEmpowerment_OP_A,0))="","",INDEX(ITT_EconomicEmpowerment_OP_B,MATCH("4.2",ITT_EconomicEmpowerment_OP_A,0))),"")</f>
        <v/>
      </c>
      <c r="E80" s="40" t="str">
        <f>IFERROR(IF(INDEX(ITT_EconomicEmpowerment_OP_E,MATCH("4.2",ITT_EconomicEmpowerment_OP_A,0))="","",INDEX(ITT_EconomicEmpowerment_OP_E,MATCH("4.2",ITT_EconomicEmpowerment_OP_A,0))),"")</f>
        <v/>
      </c>
      <c r="F80" s="40" t="str">
        <f>IFERROR(IF(INDEX(ITT_EconomicEmpowerment_OP_G,MATCH("4.2",ITT_EconomicEmpowerment_OP_A,0))="","",INDEX(ITT_EconomicEmpowerment_OP_G,MATCH("4.2",ITT_EconomicEmpowerment_OP_A,0))),"")</f>
        <v/>
      </c>
      <c r="G80" s="112" t="str">
        <f>IFERROR(IF(INDEX(ITT_EconomicEmpowerment_OP_J,MATCH("4.2",ITT_EconomicEmpowerment_OP_A,0))="","",INDEX(ITT_EconomicEmpowerment_OP_J,MATCH("4.2",ITT_EconomicEmpowerment_OP_A,0))),"")</f>
        <v/>
      </c>
      <c r="H80" s="112" t="str">
        <f>IFERROR(IF(INDEX(ITT_EconomicEmpowerment_OP_K,MATCH("4.2",ITT_EconomicEmpowerment_OP_A,0))="","",INDEX(ITT_EconomicEmpowerment_OP_K,MATCH("4.2",ITT_EconomicEmpowerment_OP_A,0))),"")</f>
        <v/>
      </c>
      <c r="I80" s="40"/>
      <c r="J80" s="40"/>
      <c r="K80" s="40"/>
      <c r="L80" s="40"/>
      <c r="M80" s="41" t="str">
        <f t="shared" si="10"/>
        <v/>
      </c>
      <c r="N80" s="40"/>
      <c r="O80" s="40"/>
      <c r="P80" s="40"/>
      <c r="Q80" s="40"/>
      <c r="R80" s="40"/>
      <c r="S80" s="157" t="str">
        <f t="shared" si="11"/>
        <v/>
      </c>
      <c r="T80" s="40"/>
      <c r="U80" s="40"/>
      <c r="V80" s="40"/>
      <c r="W80" s="40"/>
      <c r="X80" s="40"/>
      <c r="Y80" s="157" t="str">
        <f t="shared" si="12"/>
        <v/>
      </c>
      <c r="Z80" s="40"/>
      <c r="AA80" s="40"/>
      <c r="AB80" s="40"/>
      <c r="AC80" s="40"/>
      <c r="AD80" s="40"/>
      <c r="AE80" s="157" t="str">
        <f t="shared" si="13"/>
        <v/>
      </c>
      <c r="AF80" s="40"/>
      <c r="AG80" s="40"/>
      <c r="AH80" s="40"/>
      <c r="AI80" s="40"/>
      <c r="AJ80" s="40"/>
      <c r="AK80" s="157" t="str">
        <f t="shared" si="14"/>
        <v/>
      </c>
      <c r="AL80" s="40"/>
    </row>
    <row r="81" spans="1:38">
      <c r="A81" s="190"/>
      <c r="B81" s="190"/>
      <c r="C81" s="112" t="str">
        <f>IFERROR(IF(INDEX(ITT_EconomicEmpowerment_OP_A,MATCH("4.3",ITT_EconomicEmpowerment_OP_A,0))="","",INDEX(ITT_EconomicEmpowerment_OP_A,MATCH("4.3",ITT_EconomicEmpowerment_OP_A,0))),"")</f>
        <v>4.3</v>
      </c>
      <c r="D81" s="60" t="str">
        <f>IFERROR(IF(INDEX(ITT_EconomicEmpowerment_OP_B,MATCH("4.3",ITT_EconomicEmpowerment_OP_A,0))="","",INDEX(ITT_EconomicEmpowerment_OP_B,MATCH("4.3",ITT_EconomicEmpowerment_OP_A,0))),"")</f>
        <v/>
      </c>
      <c r="E81" s="40" t="str">
        <f>IFERROR(IF(INDEX(ITT_EconomicEmpowerment_OP_E,MATCH("4.3",ITT_EconomicEmpowerment_OP_A,0))="","",INDEX(ITT_EconomicEmpowerment_OP_E,MATCH("4.3",ITT_EconomicEmpowerment_OP_A,0))),"")</f>
        <v/>
      </c>
      <c r="F81" s="40" t="str">
        <f>IFERROR(IF(INDEX(ITT_EconomicEmpowerment_OP_G,MATCH("4.3",ITT_EconomicEmpowerment_OP_A,0))="","",INDEX(ITT_EconomicEmpowerment_OP_G,MATCH("4.3",ITT_EconomicEmpowerment_OP_A,0))),"")</f>
        <v/>
      </c>
      <c r="G81" s="112" t="str">
        <f>IFERROR(IF(INDEX(ITT_EconomicEmpowerment_OP_J,MATCH("4.3",ITT_EconomicEmpowerment_OP_A,0))="","",INDEX(ITT_EconomicEmpowerment_OP_J,MATCH("4.3",ITT_EconomicEmpowerment_OP_A,0))),"")</f>
        <v/>
      </c>
      <c r="H81" s="112" t="str">
        <f>IFERROR(IF(INDEX(ITT_EconomicEmpowerment_OP_K,MATCH("4.3",ITT_EconomicEmpowerment_OP_A,0))="","",INDEX(ITT_EconomicEmpowerment_OP_K,MATCH("4.3",ITT_EconomicEmpowerment_OP_A,0))),"")</f>
        <v/>
      </c>
      <c r="I81" s="40"/>
      <c r="J81" s="40"/>
      <c r="K81" s="40"/>
      <c r="L81" s="40"/>
      <c r="M81" s="41" t="str">
        <f t="shared" si="10"/>
        <v/>
      </c>
      <c r="N81" s="40"/>
      <c r="O81" s="40"/>
      <c r="P81" s="40"/>
      <c r="Q81" s="40"/>
      <c r="R81" s="40"/>
      <c r="S81" s="157" t="str">
        <f t="shared" si="11"/>
        <v/>
      </c>
      <c r="T81" s="40"/>
      <c r="U81" s="40"/>
      <c r="V81" s="40"/>
      <c r="W81" s="40"/>
      <c r="X81" s="40"/>
      <c r="Y81" s="157" t="str">
        <f t="shared" si="12"/>
        <v/>
      </c>
      <c r="Z81" s="40"/>
      <c r="AA81" s="40"/>
      <c r="AB81" s="40"/>
      <c r="AC81" s="40"/>
      <c r="AD81" s="40"/>
      <c r="AE81" s="157" t="str">
        <f t="shared" si="13"/>
        <v/>
      </c>
      <c r="AF81" s="40"/>
      <c r="AG81" s="40"/>
      <c r="AH81" s="40"/>
      <c r="AI81" s="40"/>
      <c r="AJ81" s="40"/>
      <c r="AK81" s="157" t="str">
        <f t="shared" si="14"/>
        <v/>
      </c>
      <c r="AL81" s="40"/>
    </row>
    <row r="82" spans="1:38">
      <c r="A82" s="190"/>
      <c r="B82" s="190"/>
      <c r="C82" s="112" t="str">
        <f>IFERROR(IF(INDEX(ITT_EconomicEmpowerment_OP_A,MATCH("5.1",ITT_EconomicEmpowerment_OP_A,0))="","",INDEX(ITT_EconomicEmpowerment_OP_A,MATCH("5.1",ITT_EconomicEmpowerment_OP_A,0))),"")</f>
        <v>5.1</v>
      </c>
      <c r="D82" s="60" t="str">
        <f>IFERROR(IF(INDEX(ITT_EconomicEmpowerment_OP_B,MATCH("5.1",ITT_EconomicEmpowerment_OP_A,0))="","",INDEX(ITT_EconomicEmpowerment_OP_B,MATCH("5.1",ITT_EconomicEmpowerment_OP_A,0))),"")</f>
        <v/>
      </c>
      <c r="E82" s="40" t="str">
        <f>IFERROR(IF(INDEX(ITT_EconomicEmpowerment_OP_E,MATCH("5.1",ITT_EconomicEmpowerment_OP_A,0))="","",INDEX(ITT_EconomicEmpowerment_OP_E,MATCH("5.1",ITT_EconomicEmpowerment_OP_A,0))),"")</f>
        <v/>
      </c>
      <c r="F82" s="40" t="str">
        <f>IFERROR(IF(INDEX(ITT_EconomicEmpowerment_OP_G,MATCH("5.1",ITT_EconomicEmpowerment_OP_A,0))="","",INDEX(ITT_EconomicEmpowerment_OP_G,MATCH("5.1",ITT_EconomicEmpowerment_OP_A,0))),"")</f>
        <v/>
      </c>
      <c r="G82" s="112" t="str">
        <f>IFERROR(IF(INDEX(ITT_EconomicEmpowerment_OP_J,MATCH("5.1",ITT_EconomicEmpowerment_OP_A,0))="","",INDEX(ITT_EconomicEmpowerment_OP_J,MATCH("5.1",ITT_EconomicEmpowerment_OP_A,0))),"")</f>
        <v/>
      </c>
      <c r="H82" s="112" t="str">
        <f>IFERROR(IF(INDEX(ITT_EconomicEmpowerment_OP_K,MATCH("5.1",ITT_EconomicEmpowerment_OP_A,0))="","",INDEX(ITT_EconomicEmpowerment_OP_K,MATCH("5.1",ITT_EconomicEmpowerment_OP_A,0))),"")</f>
        <v/>
      </c>
      <c r="I82" s="40"/>
      <c r="J82" s="40"/>
      <c r="K82" s="40"/>
      <c r="L82" s="40"/>
      <c r="M82" s="41" t="str">
        <f t="shared" si="10"/>
        <v/>
      </c>
      <c r="N82" s="40"/>
      <c r="O82" s="40"/>
      <c r="P82" s="40"/>
      <c r="Q82" s="40"/>
      <c r="R82" s="40"/>
      <c r="S82" s="157" t="str">
        <f t="shared" si="11"/>
        <v/>
      </c>
      <c r="T82" s="40"/>
      <c r="U82" s="40"/>
      <c r="V82" s="40"/>
      <c r="W82" s="40"/>
      <c r="X82" s="40"/>
      <c r="Y82" s="157" t="str">
        <f t="shared" si="12"/>
        <v/>
      </c>
      <c r="Z82" s="40"/>
      <c r="AA82" s="40"/>
      <c r="AB82" s="40"/>
      <c r="AC82" s="40"/>
      <c r="AD82" s="40"/>
      <c r="AE82" s="157" t="str">
        <f t="shared" si="13"/>
        <v/>
      </c>
      <c r="AF82" s="40"/>
      <c r="AG82" s="40"/>
      <c r="AH82" s="40"/>
      <c r="AI82" s="40"/>
      <c r="AJ82" s="40"/>
      <c r="AK82" s="157" t="str">
        <f t="shared" si="14"/>
        <v/>
      </c>
      <c r="AL82" s="40"/>
    </row>
    <row r="83" spans="1:38">
      <c r="A83" s="190"/>
      <c r="B83" s="190"/>
      <c r="C83" s="112" t="str">
        <f>IFERROR(IF(INDEX(ITT_EconomicEmpowerment_OP_A,MATCH("5.2",ITT_EconomicEmpowerment_OP_A,0))="","",INDEX(ITT_EconomicEmpowerment_OP_A,MATCH("5.2",ITT_EconomicEmpowerment_OP_A,0))),"")</f>
        <v>5.2</v>
      </c>
      <c r="D83" s="60" t="str">
        <f>IFERROR(IF(INDEX(ITT_EconomicEmpowerment_OP_B,MATCH("5.2",ITT_EconomicEmpowerment_OP_A,0))="","",INDEX(ITT_EconomicEmpowerment_OP_B,MATCH("5.2",ITT_EconomicEmpowerment_OP_A,0))),"")</f>
        <v/>
      </c>
      <c r="E83" s="40" t="str">
        <f>IFERROR(IF(INDEX(ITT_EconomicEmpowerment_OP_E,MATCH("5.2",ITT_EconomicEmpowerment_OP_A,0))="","",INDEX(ITT_EconomicEmpowerment_OP_E,MATCH("5.2",ITT_EconomicEmpowerment_OP_A,0))),"")</f>
        <v/>
      </c>
      <c r="F83" s="40" t="str">
        <f>IFERROR(IF(INDEX(ITT_EconomicEmpowerment_OP_G,MATCH("5.2",ITT_EconomicEmpowerment_OP_A,0))="","",INDEX(ITT_EconomicEmpowerment_OP_G,MATCH("5.2",ITT_EconomicEmpowerment_OP_A,0))),"")</f>
        <v/>
      </c>
      <c r="G83" s="112" t="str">
        <f>IFERROR(IF(INDEX(ITT_EconomicEmpowerment_OP_J,MATCH("5.2",ITT_EconomicEmpowerment_OP_A,0))="","",INDEX(ITT_EconomicEmpowerment_OP_J,MATCH("5.2",ITT_EconomicEmpowerment_OP_A,0))),"")</f>
        <v/>
      </c>
      <c r="H83" s="112" t="str">
        <f>IFERROR(IF(INDEX(ITT_EconomicEmpowerment_OP_K,MATCH("5.2",ITT_EconomicEmpowerment_OP_A,0))="","",INDEX(ITT_EconomicEmpowerment_OP_K,MATCH("5.2",ITT_EconomicEmpowerment_OP_A,0))),"")</f>
        <v/>
      </c>
      <c r="I83" s="40"/>
      <c r="J83" s="40"/>
      <c r="K83" s="40"/>
      <c r="L83" s="40"/>
      <c r="M83" s="41" t="str">
        <f t="shared" si="10"/>
        <v/>
      </c>
      <c r="N83" s="40"/>
      <c r="O83" s="40"/>
      <c r="P83" s="40"/>
      <c r="Q83" s="40"/>
      <c r="R83" s="40"/>
      <c r="S83" s="157" t="str">
        <f t="shared" si="11"/>
        <v/>
      </c>
      <c r="T83" s="40"/>
      <c r="U83" s="40"/>
      <c r="V83" s="40"/>
      <c r="W83" s="40"/>
      <c r="X83" s="40"/>
      <c r="Y83" s="157" t="str">
        <f t="shared" si="12"/>
        <v/>
      </c>
      <c r="Z83" s="40"/>
      <c r="AA83" s="40"/>
      <c r="AB83" s="40"/>
      <c r="AC83" s="40"/>
      <c r="AD83" s="40"/>
      <c r="AE83" s="157" t="str">
        <f t="shared" si="13"/>
        <v/>
      </c>
      <c r="AF83" s="40"/>
      <c r="AG83" s="40"/>
      <c r="AH83" s="40"/>
      <c r="AI83" s="40"/>
      <c r="AJ83" s="40"/>
      <c r="AK83" s="157" t="str">
        <f t="shared" si="14"/>
        <v/>
      </c>
      <c r="AL83" s="40"/>
    </row>
    <row r="84" spans="1:38">
      <c r="A84" s="194"/>
      <c r="B84" s="194"/>
      <c r="C84" s="112" t="str">
        <f>IFERROR(IF(INDEX(ITT_EconomicEmpowerment_OP_A,MATCH("5.3",ITT_EconomicEmpowerment_OP_A,0))="","",INDEX(ITT_EconomicEmpowerment_OP_A,MATCH("5.3",ITT_EconomicEmpowerment_OP_A,0))),"")</f>
        <v>5.3</v>
      </c>
      <c r="D84" s="60" t="str">
        <f>IFERROR(IF(INDEX(ITT_EconomicEmpowerment_OP_B,MATCH("5.3",ITT_EconomicEmpowerment_OP_A,0))="","",INDEX(ITT_EconomicEmpowerment_OP_B,MATCH("5.3",ITT_EconomicEmpowerment_OP_A,0))),"")</f>
        <v/>
      </c>
      <c r="E84" s="40" t="str">
        <f>IFERROR(IF(INDEX(ITT_EconomicEmpowerment_OP_E,MATCH("5.3",ITT_EconomicEmpowerment_OP_A,0))="","",INDEX(ITT_EconomicEmpowerment_OP_E,MATCH("5.3",ITT_EconomicEmpowerment_OP_A,0))),"")</f>
        <v/>
      </c>
      <c r="F84" s="40" t="str">
        <f>IFERROR(IF(INDEX(ITT_EconomicEmpowerment_OP_G,MATCH("5.3",ITT_EconomicEmpowerment_OP_A,0))="","",INDEX(ITT_EconomicEmpowerment_OP_G,MATCH("5.3",ITT_EconomicEmpowerment_OP_A,0))),"")</f>
        <v/>
      </c>
      <c r="G84" s="112" t="str">
        <f>IFERROR(IF(INDEX(ITT_EconomicEmpowerment_OP_J,MATCH("5.3",ITT_EconomicEmpowerment_OP_A,0))="","",INDEX(ITT_EconomicEmpowerment_OP_J,MATCH("5.3",ITT_EconomicEmpowerment_OP_A,0))),"")</f>
        <v/>
      </c>
      <c r="H84" s="112" t="str">
        <f>IFERROR(IF(INDEX(ITT_EconomicEmpowerment_OP_K,MATCH("5.3",ITT_EconomicEmpowerment_OP_A,0))="","",INDEX(ITT_EconomicEmpowerment_OP_K,MATCH("5.3",ITT_EconomicEmpowerment_OP_A,0))),"")</f>
        <v/>
      </c>
      <c r="I84" s="40"/>
      <c r="J84" s="40"/>
      <c r="K84" s="40"/>
      <c r="L84" s="40"/>
      <c r="M84" s="41" t="str">
        <f t="shared" si="10"/>
        <v/>
      </c>
      <c r="N84" s="40"/>
      <c r="O84" s="40"/>
      <c r="P84" s="40"/>
      <c r="Q84" s="40"/>
      <c r="R84" s="40"/>
      <c r="S84" s="157" t="str">
        <f t="shared" si="11"/>
        <v/>
      </c>
      <c r="T84" s="40"/>
      <c r="U84" s="40"/>
      <c r="V84" s="40"/>
      <c r="W84" s="40"/>
      <c r="X84" s="40"/>
      <c r="Y84" s="157" t="str">
        <f t="shared" si="12"/>
        <v/>
      </c>
      <c r="Z84" s="40"/>
      <c r="AA84" s="40"/>
      <c r="AB84" s="40"/>
      <c r="AC84" s="40"/>
      <c r="AD84" s="40"/>
      <c r="AE84" s="157" t="str">
        <f t="shared" si="13"/>
        <v/>
      </c>
      <c r="AF84" s="40"/>
      <c r="AG84" s="40"/>
      <c r="AH84" s="40"/>
      <c r="AI84" s="40"/>
      <c r="AJ84" s="40"/>
      <c r="AK84" s="157" t="str">
        <f t="shared" si="14"/>
        <v/>
      </c>
      <c r="AL84" s="40"/>
    </row>
    <row r="85" spans="1:38" ht="17.25" customHeight="1">
      <c r="A85" s="360" t="s">
        <v>294</v>
      </c>
      <c r="B85" s="361" t="s">
        <v>125</v>
      </c>
      <c r="C85" s="112" t="str">
        <f>IFERROR(IF(INDEX(ITT_Others_OC_A,MATCH("1",ITT_Others_OC_A,0))="","",INDEX(ITT_Others_OC_A,MATCH("1",ITT_Others_OC_A,0))),"")</f>
        <v>1</v>
      </c>
      <c r="D85" s="60" t="str">
        <f>IFERROR(IF(INDEX(ITT_Others_OC_B,MATCH("1",ITT_Others_OC_A,0))="","",INDEX(ITT_Others_OC_B,MATCH("1",ITT_Others_OC_A,0))),"")</f>
        <v/>
      </c>
      <c r="E85" s="40" t="str">
        <f>IFERROR(IF(INDEX(ITT_Others_OC_E,MATCH("1",ITT_Others_OC_A,0))="","",INDEX(ITT_Others_OC_E,MATCH("1",ITT_Others_OC_A,0))),"")</f>
        <v/>
      </c>
      <c r="F85" s="40" t="str">
        <f>IFERROR(IF(INDEX(ITT_Others_OC_G,MATCH("1",ITT_Others_OC_A,0))="","",INDEX(ITT_Others_OC_G,MATCH("1",ITT_Others_OC_A,0))),"")</f>
        <v/>
      </c>
      <c r="G85" s="112" t="str">
        <f>IFERROR(IF(INDEX(ITT_Others_OC_J,MATCH("1",ITT_Others_OC_A,0))="","",INDEX(ITT_Others_OC_J,MATCH("1",ITT_Others_OC_A,0))),"")</f>
        <v/>
      </c>
      <c r="H85" s="112" t="str">
        <f>IFERROR(IF(INDEX(ITT_Others_OC_K,MATCH("1",ITT_Others_OC_A,0))="","",INDEX(ITT_Others_OC_K,MATCH("1",ITT_Others_OC_A,0))),"")</f>
        <v/>
      </c>
      <c r="I85" s="40"/>
      <c r="J85" s="40"/>
      <c r="K85" s="40"/>
      <c r="L85" s="40"/>
      <c r="M85" s="158" t="str">
        <f t="shared" si="10"/>
        <v/>
      </c>
      <c r="N85" s="40"/>
      <c r="O85" s="40"/>
      <c r="P85" s="40"/>
      <c r="Q85" s="40"/>
      <c r="R85" s="40"/>
      <c r="S85" s="157" t="str">
        <f t="shared" si="11"/>
        <v/>
      </c>
      <c r="T85" s="40"/>
      <c r="U85" s="40"/>
      <c r="V85" s="40"/>
      <c r="W85" s="40"/>
      <c r="X85" s="40"/>
      <c r="Y85" s="157" t="str">
        <f t="shared" si="12"/>
        <v/>
      </c>
      <c r="Z85" s="40"/>
      <c r="AA85" s="40"/>
      <c r="AB85" s="40"/>
      <c r="AC85" s="40"/>
      <c r="AD85" s="40"/>
      <c r="AE85" s="157" t="str">
        <f t="shared" si="13"/>
        <v/>
      </c>
      <c r="AF85" s="40"/>
      <c r="AG85" s="40"/>
      <c r="AH85" s="40"/>
      <c r="AI85" s="40"/>
      <c r="AJ85" s="40"/>
      <c r="AK85" s="157" t="str">
        <f t="shared" si="14"/>
        <v/>
      </c>
      <c r="AL85" s="40"/>
    </row>
    <row r="86" spans="1:38">
      <c r="A86" s="190"/>
      <c r="B86" s="190"/>
      <c r="C86" s="112" t="str">
        <f>IFERROR(IF(INDEX(ITT_Others_OC_A,MATCH("2",ITT_Others_OC_A,0))="","",INDEX(ITT_Others_OC_A,MATCH("2",ITT_Others_OC_A,0))),"")</f>
        <v>2</v>
      </c>
      <c r="D86" s="60" t="str">
        <f>IFERROR(IF(INDEX(ITT_Others_OC_B,MATCH("2",ITT_Others_OC_A,0))="","",INDEX(ITT_Others_OC_B,MATCH("2",ITT_Others_OC_A,0))),"")</f>
        <v/>
      </c>
      <c r="E86" s="40" t="str">
        <f>IFERROR(IF(INDEX(ITT_Others_OC_E,MATCH("2",ITT_Others_OC_A,0))="","",INDEX(ITT_Others_OC_E,MATCH("2",ITT_Others_OC_A,0))),"")</f>
        <v/>
      </c>
      <c r="F86" s="40" t="str">
        <f>IFERROR(IF(INDEX(ITT_Others_OC_G,MATCH("2",ITT_Others_OC_A,0))="","",INDEX(ITT_Others_OC_G,MATCH("2",ITT_Others_OC_A,0))),"")</f>
        <v/>
      </c>
      <c r="G86" s="112" t="str">
        <f>IFERROR(IF(INDEX(ITT_Others_OC_J,MATCH("2",ITT_Others_OC_A,0))="","",INDEX(ITT_Others_OC_J,MATCH("2",ITT_Others_OC_A,0))),"")</f>
        <v/>
      </c>
      <c r="H86" s="112" t="str">
        <f>IFERROR(IF(INDEX(ITT_Others_OC_K,MATCH("2",ITT_Others_OC_A,0))="","",INDEX(ITT_Others_OC_K,MATCH("2",ITT_Others_OC_A,0))),"")</f>
        <v/>
      </c>
      <c r="I86" s="40"/>
      <c r="J86" s="40"/>
      <c r="K86" s="40"/>
      <c r="L86" s="40"/>
      <c r="M86" s="41" t="str">
        <f t="shared" si="10"/>
        <v/>
      </c>
      <c r="N86" s="40"/>
      <c r="O86" s="40"/>
      <c r="P86" s="40"/>
      <c r="Q86" s="40"/>
      <c r="R86" s="40"/>
      <c r="S86" s="157" t="str">
        <f t="shared" si="11"/>
        <v/>
      </c>
      <c r="T86" s="40"/>
      <c r="U86" s="40"/>
      <c r="V86" s="40"/>
      <c r="W86" s="40"/>
      <c r="X86" s="40"/>
      <c r="Y86" s="157" t="str">
        <f t="shared" si="12"/>
        <v/>
      </c>
      <c r="Z86" s="40"/>
      <c r="AA86" s="40"/>
      <c r="AB86" s="40"/>
      <c r="AC86" s="40"/>
      <c r="AD86" s="40"/>
      <c r="AE86" s="157" t="str">
        <f t="shared" si="13"/>
        <v/>
      </c>
      <c r="AF86" s="40"/>
      <c r="AG86" s="40"/>
      <c r="AH86" s="40"/>
      <c r="AI86" s="40"/>
      <c r="AJ86" s="40"/>
      <c r="AK86" s="157" t="str">
        <f t="shared" si="14"/>
        <v/>
      </c>
      <c r="AL86" s="40"/>
    </row>
    <row r="87" spans="1:38">
      <c r="A87" s="190"/>
      <c r="B87" s="190"/>
      <c r="C87" s="112" t="str">
        <f>IFERROR(IF(INDEX(ITT_Others_OC_A,MATCH("3",ITT_Others_OC_A,0))="","",INDEX(ITT_Others_OC_A,MATCH("3",ITT_Others_OC_A,0))),"")</f>
        <v>3</v>
      </c>
      <c r="D87" s="60" t="str">
        <f>IFERROR(IF(INDEX(ITT_Others_OC_B,MATCH("3",ITT_Others_OC_A,0))="","",INDEX(ITT_Others_OC_B,MATCH("3",ITT_Others_OC_A,0))),"")</f>
        <v/>
      </c>
      <c r="E87" s="40" t="str">
        <f>IFERROR(IF(INDEX(ITT_Others_OC_E,MATCH("3",ITT_Others_OC_A,0))="","",INDEX(ITT_Others_OC_E,MATCH("3",ITT_Others_OC_A,0))),"")</f>
        <v/>
      </c>
      <c r="F87" s="40" t="str">
        <f>IFERROR(IF(INDEX(ITT_Others_OC_G,MATCH("3",ITT_Others_OC_A,0))="","",INDEX(ITT_Others_OC_G,MATCH("3",ITT_Others_OC_A,0))),"")</f>
        <v/>
      </c>
      <c r="G87" s="112" t="str">
        <f>IFERROR(IF(INDEX(ITT_Others_OC_J,MATCH("3",ITT_Others_OC_A,0))="","",INDEX(ITT_Others_OC_J,MATCH("3",ITT_Others_OC_A,0))),"")</f>
        <v/>
      </c>
      <c r="H87" s="112" t="str">
        <f>IFERROR(IF(INDEX(ITT_Others_OC_K,MATCH("3",ITT_Others_OC_A,0))="","",INDEX(ITT_Others_OC_K,MATCH("3",ITT_Others_OC_A,0))),"")</f>
        <v/>
      </c>
      <c r="I87" s="40"/>
      <c r="J87" s="40"/>
      <c r="K87" s="40"/>
      <c r="L87" s="40"/>
      <c r="M87" s="41" t="str">
        <f t="shared" si="10"/>
        <v/>
      </c>
      <c r="N87" s="40"/>
      <c r="O87" s="40"/>
      <c r="P87" s="40"/>
      <c r="Q87" s="40"/>
      <c r="R87" s="40"/>
      <c r="S87" s="157" t="str">
        <f t="shared" si="11"/>
        <v/>
      </c>
      <c r="T87" s="40"/>
      <c r="U87" s="40"/>
      <c r="V87" s="40"/>
      <c r="W87" s="40"/>
      <c r="X87" s="40"/>
      <c r="Y87" s="157" t="str">
        <f t="shared" si="12"/>
        <v/>
      </c>
      <c r="Z87" s="40"/>
      <c r="AA87" s="40"/>
      <c r="AB87" s="40"/>
      <c r="AC87" s="40"/>
      <c r="AD87" s="40"/>
      <c r="AE87" s="157" t="str">
        <f t="shared" si="13"/>
        <v/>
      </c>
      <c r="AF87" s="40"/>
      <c r="AG87" s="40"/>
      <c r="AH87" s="40"/>
      <c r="AI87" s="40"/>
      <c r="AJ87" s="40"/>
      <c r="AK87" s="157" t="str">
        <f t="shared" si="14"/>
        <v/>
      </c>
      <c r="AL87" s="40"/>
    </row>
    <row r="88" spans="1:38">
      <c r="A88" s="190"/>
      <c r="B88" s="190"/>
      <c r="C88" s="112" t="str">
        <f>IFERROR(IF(INDEX(ITT_Others_OC_A,MATCH("4",ITT_Others_OC_A,0))="","",INDEX(ITT_Others_OC_A,MATCH("4",ITT_Others_OC_A,0))),"")</f>
        <v>4</v>
      </c>
      <c r="D88" s="60" t="str">
        <f>IFERROR(IF(INDEX(ITT_Others_OC_B,MATCH("4",ITT_Others_OC_A,0))="","",INDEX(ITT_Others_OC_B,MATCH("4",ITT_Others_OC_A,0))),"")</f>
        <v/>
      </c>
      <c r="E88" s="40" t="str">
        <f>IFERROR(IF(INDEX(ITT_Others_OC_E,MATCH("4",ITT_Others_OC_A,0))="","",INDEX(ITT_Others_OC_E,MATCH("4",ITT_Others_OC_A,0))),"")</f>
        <v/>
      </c>
      <c r="F88" s="40" t="str">
        <f>IFERROR(IF(INDEX(ITT_Others_OC_G,MATCH("4",ITT_Others_OC_A,0))="","",INDEX(ITT_Others_OC_G,MATCH("4",ITT_Others_OC_A,0))),"")</f>
        <v/>
      </c>
      <c r="G88" s="112" t="str">
        <f>IFERROR(IF(INDEX(ITT_Others_OC_J,MATCH("4",ITT_Others_OC_A,0))="","",INDEX(ITT_Others_OC_J,MATCH("4",ITT_Others_OC_A,0))),"")</f>
        <v/>
      </c>
      <c r="H88" s="112" t="str">
        <f>IFERROR(IF(INDEX(ITT_Others_OC_K,MATCH("4",ITT_Others_OC_A,0))="","",INDEX(ITT_Others_OC_K,MATCH("4",ITT_Others_OC_A,0))),"")</f>
        <v/>
      </c>
      <c r="I88" s="40"/>
      <c r="J88" s="40"/>
      <c r="K88" s="40"/>
      <c r="L88" s="40"/>
      <c r="M88" s="41" t="str">
        <f t="shared" si="10"/>
        <v/>
      </c>
      <c r="N88" s="40"/>
      <c r="O88" s="40"/>
      <c r="P88" s="40"/>
      <c r="Q88" s="40"/>
      <c r="R88" s="40"/>
      <c r="S88" s="157" t="str">
        <f t="shared" si="11"/>
        <v/>
      </c>
      <c r="T88" s="40"/>
      <c r="U88" s="40"/>
      <c r="V88" s="40"/>
      <c r="W88" s="40"/>
      <c r="X88" s="40"/>
      <c r="Y88" s="157" t="str">
        <f t="shared" si="12"/>
        <v/>
      </c>
      <c r="Z88" s="40"/>
      <c r="AA88" s="40"/>
      <c r="AB88" s="40"/>
      <c r="AC88" s="40"/>
      <c r="AD88" s="40"/>
      <c r="AE88" s="157" t="str">
        <f t="shared" si="13"/>
        <v/>
      </c>
      <c r="AF88" s="40"/>
      <c r="AG88" s="40"/>
      <c r="AH88" s="40"/>
      <c r="AI88" s="40"/>
      <c r="AJ88" s="40"/>
      <c r="AK88" s="157" t="str">
        <f t="shared" si="14"/>
        <v/>
      </c>
      <c r="AL88" s="40"/>
    </row>
    <row r="89" spans="1:38">
      <c r="A89" s="190"/>
      <c r="B89" s="194"/>
      <c r="C89" s="112" t="str">
        <f>IFERROR(IF(INDEX(ITT_Others_OC_A,MATCH("5",ITT_Others_OC_A,0))="","",INDEX(ITT_Others_OC_A,MATCH("5",ITT_Others_OC_A,0))),"")</f>
        <v>5</v>
      </c>
      <c r="D89" s="60" t="str">
        <f>IFERROR(IF(INDEX(ITT_Others_OC_B,MATCH("5",ITT_Others_OC_A,0))="","",INDEX(ITT_Others_OC_B,MATCH("5",ITT_Others_OC_A,0))),"")</f>
        <v/>
      </c>
      <c r="E89" s="40" t="str">
        <f>IFERROR(IF(INDEX(ITT_Others_OC_E,MATCH("5",ITT_Others_OC_A,0))="","",INDEX(ITT_Others_OC_E,MATCH("5",ITT_Others_OC_A,0))),"")</f>
        <v/>
      </c>
      <c r="F89" s="40" t="str">
        <f>IFERROR(IF(INDEX(ITT_Others_OC_G,MATCH("5",ITT_Others_OC_A,0))="","",INDEX(ITT_Others_OC_G,MATCH("5",ITT_Others_OC_A,0))),"")</f>
        <v/>
      </c>
      <c r="G89" s="112" t="str">
        <f>IFERROR(IF(INDEX(ITT_Others_OC_J,MATCH("5",ITT_Others_OC_A,0))="","",INDEX(ITT_Others_OC_J,MATCH("5",ITT_Others_OC_A,0))),"")</f>
        <v/>
      </c>
      <c r="H89" s="112" t="str">
        <f>IFERROR(IF(INDEX(ITT_Others_OC_K,MATCH("5",ITT_Others_OC_A,0))="","",INDEX(ITT_Others_OC_K,MATCH("5",ITT_Others_OC_A,0))),"")</f>
        <v/>
      </c>
      <c r="I89" s="40"/>
      <c r="J89" s="40"/>
      <c r="K89" s="40"/>
      <c r="L89" s="40"/>
      <c r="M89" s="41" t="str">
        <f t="shared" si="10"/>
        <v/>
      </c>
      <c r="N89" s="40"/>
      <c r="O89" s="40"/>
      <c r="P89" s="40"/>
      <c r="Q89" s="40"/>
      <c r="R89" s="40"/>
      <c r="S89" s="157" t="str">
        <f t="shared" si="11"/>
        <v/>
      </c>
      <c r="T89" s="40"/>
      <c r="U89" s="40"/>
      <c r="V89" s="40"/>
      <c r="W89" s="40"/>
      <c r="X89" s="40"/>
      <c r="Y89" s="157" t="str">
        <f t="shared" si="12"/>
        <v/>
      </c>
      <c r="Z89" s="40"/>
      <c r="AA89" s="40"/>
      <c r="AB89" s="40"/>
      <c r="AC89" s="40"/>
      <c r="AD89" s="40"/>
      <c r="AE89" s="157" t="str">
        <f t="shared" si="13"/>
        <v/>
      </c>
      <c r="AF89" s="40"/>
      <c r="AG89" s="40"/>
      <c r="AH89" s="40"/>
      <c r="AI89" s="40"/>
      <c r="AJ89" s="40"/>
      <c r="AK89" s="157" t="str">
        <f t="shared" si="14"/>
        <v/>
      </c>
      <c r="AL89" s="40"/>
    </row>
    <row r="90" spans="1:38" ht="17.25" customHeight="1">
      <c r="A90" s="190"/>
      <c r="B90" s="361" t="s">
        <v>131</v>
      </c>
      <c r="C90" s="112" t="str">
        <f>IFERROR(IF(INDEX(ITT_Others_OP_A,MATCH("1.1",ITT_Others_OP_A,0))="","",INDEX(ITT_Others_OP_A,MATCH("1.1",ITT_Others_OP_A,0))),"")</f>
        <v>1.1</v>
      </c>
      <c r="D90" s="60" t="str">
        <f>IFERROR(IF(INDEX(ITT_Others_OP_B,MATCH("1.1",ITT_Others_OP_A,0))="","",INDEX(ITT_Others_OP_B,MATCH("1.1",ITT_Others_OP_A,0))),"")</f>
        <v/>
      </c>
      <c r="E90" s="40" t="str">
        <f>IFERROR(IF(INDEX(ITT_Others_OP_E,MATCH("1.1",ITT_Others_OP_A,0))="","",INDEX(ITT_Others_OP_E,MATCH("1.1",ITT_Others_OP_A,0))),"")</f>
        <v/>
      </c>
      <c r="F90" s="40" t="str">
        <f>IFERROR(IF(INDEX(ITT_Others_OP_G,MATCH("1.1",ITT_Others_OP_A,0))="","",INDEX(ITT_Others_OP_G,MATCH("1.1",ITT_Others_OP_A,0))),"")</f>
        <v/>
      </c>
      <c r="G90" s="112" t="str">
        <f>IFERROR(IF(INDEX(ITT_Others_OP_J,MATCH("1.1",ITT_Others_OP_A,0))="","",INDEX(ITT_Others_OP_J,MATCH("1.1",ITT_Others_OP_A,0))),"")</f>
        <v/>
      </c>
      <c r="H90" s="112" t="str">
        <f>IFERROR(IF(INDEX(ITT_Others_OP_K,MATCH("1.1",ITT_Others_OP_A,0))="","",INDEX(ITT_Others_OP_K,MATCH("1.1",ITT_Others_OP_A,0))),"")</f>
        <v/>
      </c>
      <c r="I90" s="40"/>
      <c r="J90" s="40"/>
      <c r="K90" s="40"/>
      <c r="L90" s="40"/>
      <c r="M90" s="41" t="str">
        <f t="shared" si="10"/>
        <v/>
      </c>
      <c r="N90" s="40"/>
      <c r="O90" s="40"/>
      <c r="P90" s="40"/>
      <c r="Q90" s="40"/>
      <c r="R90" s="40"/>
      <c r="S90" s="157" t="str">
        <f t="shared" si="11"/>
        <v/>
      </c>
      <c r="T90" s="40"/>
      <c r="U90" s="40"/>
      <c r="V90" s="40"/>
      <c r="W90" s="40"/>
      <c r="X90" s="40"/>
      <c r="Y90" s="157" t="str">
        <f t="shared" si="12"/>
        <v/>
      </c>
      <c r="Z90" s="40"/>
      <c r="AA90" s="40"/>
      <c r="AB90" s="40"/>
      <c r="AC90" s="40"/>
      <c r="AD90" s="40"/>
      <c r="AE90" s="157" t="str">
        <f t="shared" si="13"/>
        <v/>
      </c>
      <c r="AF90" s="40"/>
      <c r="AG90" s="40"/>
      <c r="AH90" s="40"/>
      <c r="AI90" s="40"/>
      <c r="AJ90" s="40"/>
      <c r="AK90" s="157" t="str">
        <f t="shared" si="14"/>
        <v/>
      </c>
      <c r="AL90" s="40"/>
    </row>
    <row r="91" spans="1:38">
      <c r="A91" s="190"/>
      <c r="B91" s="190"/>
      <c r="C91" s="112" t="str">
        <f>IFERROR(IF(INDEX(ITT_Others_OP_A,MATCH("1.2",ITT_Others_OP_A,0))="","",INDEX(ITT_Others_OP_A,MATCH("1.2",ITT_Others_OP_A,0))),"")</f>
        <v>1.2</v>
      </c>
      <c r="D91" s="60" t="str">
        <f>IFERROR(IF(INDEX(ITT_Others_OP_B,MATCH("1.2",ITT_Others_OP_A,0))="","",INDEX(ITT_Others_OP_B,MATCH("1.2",ITT_Others_OP_A,0))),"")</f>
        <v/>
      </c>
      <c r="E91" s="40" t="str">
        <f>IFERROR(IF(INDEX(ITT_Others_OP_E,MATCH("1.2",ITT_Others_OP_A,0))="","",INDEX(ITT_Others_OP_E,MATCH("1.2",ITT_Others_OP_A,0))),"")</f>
        <v/>
      </c>
      <c r="F91" s="40" t="str">
        <f>IFERROR(IF(INDEX(ITT_Others_OP_G,MATCH("1.2",ITT_Others_OP_A,0))="","",INDEX(ITT_Others_OP_G,MATCH("1.2",ITT_Others_OP_A,0))),"")</f>
        <v/>
      </c>
      <c r="G91" s="112" t="str">
        <f>IFERROR(IF(INDEX(ITT_Others_OP_J,MATCH("1.2",ITT_Others_OP_A,0))="","",INDEX(ITT_Others_OP_J,MATCH("1.2",ITT_Others_OP_A,0))),"")</f>
        <v/>
      </c>
      <c r="H91" s="112" t="str">
        <f>IFERROR(IF(INDEX(ITT_Others_OP_K,MATCH("1.2",ITT_Others_OP_A,0))="","",INDEX(ITT_Others_OP_K,MATCH("1.2",ITT_Others_OP_A,0))),"")</f>
        <v/>
      </c>
      <c r="I91" s="40"/>
      <c r="J91" s="40"/>
      <c r="K91" s="40"/>
      <c r="L91" s="40"/>
      <c r="M91" s="41" t="str">
        <f t="shared" si="10"/>
        <v/>
      </c>
      <c r="N91" s="40"/>
      <c r="O91" s="40"/>
      <c r="P91" s="40"/>
      <c r="Q91" s="40"/>
      <c r="R91" s="40"/>
      <c r="S91" s="157" t="str">
        <f t="shared" si="11"/>
        <v/>
      </c>
      <c r="T91" s="40"/>
      <c r="U91" s="40"/>
      <c r="V91" s="40"/>
      <c r="W91" s="40"/>
      <c r="X91" s="40"/>
      <c r="Y91" s="157" t="str">
        <f t="shared" si="12"/>
        <v/>
      </c>
      <c r="Z91" s="40"/>
      <c r="AA91" s="40"/>
      <c r="AB91" s="40"/>
      <c r="AC91" s="40"/>
      <c r="AD91" s="40"/>
      <c r="AE91" s="157" t="str">
        <f t="shared" si="13"/>
        <v/>
      </c>
      <c r="AF91" s="40"/>
      <c r="AG91" s="40"/>
      <c r="AH91" s="40"/>
      <c r="AI91" s="40"/>
      <c r="AJ91" s="40"/>
      <c r="AK91" s="157" t="str">
        <f t="shared" si="14"/>
        <v/>
      </c>
      <c r="AL91" s="40"/>
    </row>
    <row r="92" spans="1:38">
      <c r="A92" s="190"/>
      <c r="B92" s="190"/>
      <c r="C92" s="112" t="str">
        <f>IFERROR(IF(INDEX(ITT_Others_OP_A,MATCH("1.3",ITT_Others_OP_A,0))="","",INDEX(ITT_Others_OP_A,MATCH("1.3",ITT_Others_OP_A,0))),"")</f>
        <v>1.3</v>
      </c>
      <c r="D92" s="60" t="str">
        <f>IFERROR(IF(INDEX(ITT_Others_OP_B,MATCH("1.3",ITT_Others_OP_A,0))="","",INDEX(ITT_Others_OP_B,MATCH("1.3",ITT_Others_OP_A,0))),"")</f>
        <v/>
      </c>
      <c r="E92" s="40" t="str">
        <f>IFERROR(IF(INDEX(ITT_Others_OP_E,MATCH("1.3",ITT_Others_OP_A,0))="","",INDEX(ITT_Others_OP_E,MATCH("1.3",ITT_Others_OP_A,0))),"")</f>
        <v/>
      </c>
      <c r="F92" s="40" t="str">
        <f>IFERROR(IF(INDEX(ITT_Others_OP_G,MATCH("1.3",ITT_Others_OP_A,0))="","",INDEX(ITT_Others_OP_G,MATCH("1.3",ITT_Others_OP_A,0))),"")</f>
        <v/>
      </c>
      <c r="G92" s="112" t="str">
        <f>IFERROR(IF(INDEX(ITT_Others_OP_J,MATCH("1.3",ITT_Others_OP_A,0))="","",INDEX(ITT_Others_OP_J,MATCH("1.3",ITT_Others_OP_A,0))),"")</f>
        <v/>
      </c>
      <c r="H92" s="112" t="str">
        <f>IFERROR(IF(INDEX(ITT_Others_OP_K,MATCH("1.3",ITT_Others_OP_A,0))="","",INDEX(ITT_Others_OP_K,MATCH("1.3",ITT_Others_OP_A,0))),"")</f>
        <v/>
      </c>
      <c r="I92" s="40"/>
      <c r="J92" s="40"/>
      <c r="K92" s="40"/>
      <c r="L92" s="40"/>
      <c r="M92" s="41" t="str">
        <f t="shared" si="10"/>
        <v/>
      </c>
      <c r="N92" s="40"/>
      <c r="O92" s="40"/>
      <c r="P92" s="40"/>
      <c r="Q92" s="40"/>
      <c r="R92" s="40"/>
      <c r="S92" s="157" t="str">
        <f t="shared" si="11"/>
        <v/>
      </c>
      <c r="T92" s="40"/>
      <c r="U92" s="40"/>
      <c r="V92" s="40"/>
      <c r="W92" s="40"/>
      <c r="X92" s="40"/>
      <c r="Y92" s="157" t="str">
        <f t="shared" si="12"/>
        <v/>
      </c>
      <c r="Z92" s="40"/>
      <c r="AA92" s="40"/>
      <c r="AB92" s="40"/>
      <c r="AC92" s="40"/>
      <c r="AD92" s="40"/>
      <c r="AE92" s="157" t="str">
        <f t="shared" si="13"/>
        <v/>
      </c>
      <c r="AF92" s="40"/>
      <c r="AG92" s="40"/>
      <c r="AH92" s="40"/>
      <c r="AI92" s="40"/>
      <c r="AJ92" s="40"/>
      <c r="AK92" s="157" t="str">
        <f t="shared" si="14"/>
        <v/>
      </c>
      <c r="AL92" s="40"/>
    </row>
    <row r="93" spans="1:38">
      <c r="A93" s="190"/>
      <c r="B93" s="190"/>
      <c r="C93" s="112" t="str">
        <f>IFERROR(IF(INDEX(ITT_Others_OP_A,MATCH("2.1",ITT_Others_OP_A,0))="","",INDEX(ITT_Others_OP_A,MATCH("2.1",ITT_Others_OP_A,0))),"")</f>
        <v>2.1</v>
      </c>
      <c r="D93" s="60" t="str">
        <f>IFERROR(IF(INDEX(ITT_Others_OP_B,MATCH("2.1",ITT_Others_OP_A,0))="","",INDEX(ITT_Others_OP_B,MATCH("2.1",ITT_Others_OP_A,0))),"")</f>
        <v/>
      </c>
      <c r="E93" s="40" t="str">
        <f>IFERROR(IF(INDEX(ITT_Others_OP_E,MATCH("2.1",ITT_Others_OP_A,0))="","",INDEX(ITT_Others_OP_E,MATCH("2.1",ITT_Others_OP_A,0))),"")</f>
        <v/>
      </c>
      <c r="F93" s="40" t="str">
        <f>IFERROR(IF(INDEX(ITT_Others_OP_G,MATCH("2.1",ITT_Others_OP_A,0))="","",INDEX(ITT_Others_OP_G,MATCH("2.1",ITT_Others_OP_A,0))),"")</f>
        <v/>
      </c>
      <c r="G93" s="112" t="str">
        <f>IFERROR(IF(INDEX(ITT_Others_OP_J,MATCH("2.1",ITT_Others_OP_A,0))="","",INDEX(ITT_Others_OP_J,MATCH("2.1",ITT_Others_OP_A,0))),"")</f>
        <v/>
      </c>
      <c r="H93" s="112" t="str">
        <f>IFERROR(IF(INDEX(ITT_Others_OP_K,MATCH("2.1",ITT_Others_OP_A,0))="","",INDEX(ITT_Others_OP_K,MATCH("2.1",ITT_Others_OP_A,0))),"")</f>
        <v/>
      </c>
      <c r="I93" s="40"/>
      <c r="J93" s="40"/>
      <c r="K93" s="40"/>
      <c r="L93" s="40"/>
      <c r="M93" s="41" t="str">
        <f t="shared" si="10"/>
        <v/>
      </c>
      <c r="N93" s="40"/>
      <c r="O93" s="40"/>
      <c r="P93" s="40"/>
      <c r="Q93" s="40"/>
      <c r="R93" s="40"/>
      <c r="S93" s="157" t="str">
        <f t="shared" si="11"/>
        <v/>
      </c>
      <c r="T93" s="40"/>
      <c r="U93" s="40"/>
      <c r="V93" s="40"/>
      <c r="W93" s="40"/>
      <c r="X93" s="40"/>
      <c r="Y93" s="157" t="str">
        <f t="shared" si="12"/>
        <v/>
      </c>
      <c r="Z93" s="40"/>
      <c r="AA93" s="40"/>
      <c r="AB93" s="40"/>
      <c r="AC93" s="40"/>
      <c r="AD93" s="40"/>
      <c r="AE93" s="157" t="str">
        <f t="shared" si="13"/>
        <v/>
      </c>
      <c r="AF93" s="40"/>
      <c r="AG93" s="40"/>
      <c r="AH93" s="40"/>
      <c r="AI93" s="40"/>
      <c r="AJ93" s="40"/>
      <c r="AK93" s="157" t="str">
        <f t="shared" si="14"/>
        <v/>
      </c>
      <c r="AL93" s="40"/>
    </row>
    <row r="94" spans="1:38">
      <c r="A94" s="190"/>
      <c r="B94" s="190"/>
      <c r="C94" s="112" t="str">
        <f>IFERROR(IF(INDEX(ITT_Others_OP_A,MATCH("2.2",ITT_Others_OP_A,0))="","",INDEX(ITT_Others_OP_A,MATCH("2.2",ITT_Others_OP_A,0))),"")</f>
        <v>2.2</v>
      </c>
      <c r="D94" s="60" t="str">
        <f>IFERROR(IF(INDEX(ITT_Others_OP_B,MATCH("2.2",ITT_Others_OP_A,0))="","",INDEX(ITT_Others_OP_B,MATCH("2.2",ITT_Others_OP_A,0))),"")</f>
        <v/>
      </c>
      <c r="E94" s="40" t="str">
        <f>IFERROR(IF(INDEX(ITT_Others_OP_E,MATCH("2.2",ITT_Others_OP_A,0))="","",INDEX(ITT_Others_OP_E,MATCH("2.2",ITT_Others_OP_A,0))),"")</f>
        <v/>
      </c>
      <c r="F94" s="40" t="str">
        <f>IFERROR(IF(INDEX(ITT_Others_OP_G,MATCH("2.2",ITT_Others_OP_A,0))="","",INDEX(ITT_Others_OP_G,MATCH("2.2",ITT_Others_OP_A,0))),"")</f>
        <v/>
      </c>
      <c r="G94" s="112" t="str">
        <f>IFERROR(IF(INDEX(ITT_Others_OP_J,MATCH("2.2",ITT_Others_OP_A,0))="","",INDEX(ITT_Others_OP_J,MATCH("2.2",ITT_Others_OP_A,0))),"")</f>
        <v/>
      </c>
      <c r="H94" s="112" t="str">
        <f>IFERROR(IF(INDEX(ITT_Others_OP_K,MATCH("2.2",ITT_Others_OP_A,0))="","",INDEX(ITT_Others_OP_K,MATCH("2.2",ITT_Others_OP_A,0))),"")</f>
        <v/>
      </c>
      <c r="I94" s="40"/>
      <c r="J94" s="40"/>
      <c r="K94" s="40"/>
      <c r="L94" s="40"/>
      <c r="M94" s="41" t="str">
        <f t="shared" si="10"/>
        <v/>
      </c>
      <c r="N94" s="40"/>
      <c r="O94" s="40"/>
      <c r="P94" s="40"/>
      <c r="Q94" s="40"/>
      <c r="R94" s="40"/>
      <c r="S94" s="157" t="str">
        <f t="shared" si="11"/>
        <v/>
      </c>
      <c r="T94" s="40"/>
      <c r="U94" s="40"/>
      <c r="V94" s="40"/>
      <c r="W94" s="40"/>
      <c r="X94" s="40"/>
      <c r="Y94" s="157" t="str">
        <f t="shared" si="12"/>
        <v/>
      </c>
      <c r="Z94" s="40"/>
      <c r="AA94" s="40"/>
      <c r="AB94" s="40"/>
      <c r="AC94" s="40"/>
      <c r="AD94" s="40"/>
      <c r="AE94" s="157" t="str">
        <f t="shared" si="13"/>
        <v/>
      </c>
      <c r="AF94" s="40"/>
      <c r="AG94" s="40"/>
      <c r="AH94" s="40"/>
      <c r="AI94" s="40"/>
      <c r="AJ94" s="40"/>
      <c r="AK94" s="157" t="str">
        <f t="shared" si="14"/>
        <v/>
      </c>
      <c r="AL94" s="40"/>
    </row>
    <row r="95" spans="1:38">
      <c r="A95" s="190"/>
      <c r="B95" s="190"/>
      <c r="C95" s="112" t="str">
        <f>IFERROR(IF(INDEX(ITT_Others_OP_A,MATCH("2.3",ITT_Others_OP_A,0))="","",INDEX(ITT_Others_OP_A,MATCH("2.3",ITT_Others_OP_A,0))),"")</f>
        <v>2.3</v>
      </c>
      <c r="D95" s="60" t="str">
        <f>IFERROR(IF(INDEX(ITT_Others_OP_B,MATCH("2.3",ITT_Others_OP_A,0))="","",INDEX(ITT_Others_OP_B,MATCH("2.3",ITT_Others_OP_A,0))),"")</f>
        <v/>
      </c>
      <c r="E95" s="40" t="str">
        <f>IFERROR(IF(INDEX(ITT_Others_OP_E,MATCH("2.3",ITT_Others_OP_A,0))="","",INDEX(ITT_Others_OP_E,MATCH("2.3",ITT_Others_OP_A,0))),"")</f>
        <v/>
      </c>
      <c r="F95" s="40" t="str">
        <f>IFERROR(IF(INDEX(ITT_Others_OP_G,MATCH("2.3",ITT_Others_OP_A,0))="","",INDEX(ITT_Others_OP_G,MATCH("2.3",ITT_Others_OP_A,0))),"")</f>
        <v/>
      </c>
      <c r="G95" s="112" t="str">
        <f>IFERROR(IF(INDEX(ITT_Others_OP_J,MATCH("2.3",ITT_Others_OP_A,0))="","",INDEX(ITT_Others_OP_J,MATCH("2.3",ITT_Others_OP_A,0))),"")</f>
        <v/>
      </c>
      <c r="H95" s="112" t="str">
        <f>IFERROR(IF(INDEX(ITT_Others_OP_K,MATCH("2.3",ITT_Others_OP_A,0))="","",INDEX(ITT_Others_OP_K,MATCH("2.3",ITT_Others_OP_A,0))),"")</f>
        <v/>
      </c>
      <c r="I95" s="40"/>
      <c r="J95" s="40"/>
      <c r="K95" s="40"/>
      <c r="L95" s="40"/>
      <c r="M95" s="41" t="str">
        <f t="shared" si="10"/>
        <v/>
      </c>
      <c r="N95" s="40"/>
      <c r="O95" s="40"/>
      <c r="P95" s="40"/>
      <c r="Q95" s="40"/>
      <c r="R95" s="40"/>
      <c r="S95" s="157" t="str">
        <f t="shared" si="11"/>
        <v/>
      </c>
      <c r="T95" s="40"/>
      <c r="U95" s="40"/>
      <c r="V95" s="40"/>
      <c r="W95" s="40"/>
      <c r="X95" s="40"/>
      <c r="Y95" s="157" t="str">
        <f t="shared" si="12"/>
        <v/>
      </c>
      <c r="Z95" s="40"/>
      <c r="AA95" s="40"/>
      <c r="AB95" s="40"/>
      <c r="AC95" s="40"/>
      <c r="AD95" s="40"/>
      <c r="AE95" s="157" t="str">
        <f t="shared" si="13"/>
        <v/>
      </c>
      <c r="AF95" s="40"/>
      <c r="AG95" s="40"/>
      <c r="AH95" s="40"/>
      <c r="AI95" s="40"/>
      <c r="AJ95" s="40"/>
      <c r="AK95" s="157" t="str">
        <f t="shared" si="14"/>
        <v/>
      </c>
      <c r="AL95" s="40"/>
    </row>
    <row r="96" spans="1:38">
      <c r="A96" s="190"/>
      <c r="B96" s="190"/>
      <c r="C96" s="112" t="str">
        <f>IFERROR(IF(INDEX(ITT_Others_OP_A,MATCH("3.1",ITT_Others_OP_A,0))="","",INDEX(ITT_Others_OP_A,MATCH("3.1",ITT_Others_OP_A,0))),"")</f>
        <v>3.1</v>
      </c>
      <c r="D96" s="60" t="str">
        <f>IFERROR(IF(INDEX(ITT_Others_OP_B,MATCH("3.1",ITT_Others_OP_A,0))="","",INDEX(ITT_Others_OP_B,MATCH("3.1",ITT_Others_OP_A,0))),"")</f>
        <v/>
      </c>
      <c r="E96" s="40" t="str">
        <f>IFERROR(IF(INDEX(ITT_Others_OP_E,MATCH("3.1",ITT_Others_OP_A,0))="","",INDEX(ITT_Others_OP_E,MATCH("3.1",ITT_Others_OP_A,0))),"")</f>
        <v/>
      </c>
      <c r="F96" s="40" t="str">
        <f>IFERROR(IF(INDEX(ITT_Others_OP_G,MATCH("3.1",ITT_Others_OP_A,0))="","",INDEX(ITT_Others_OP_G,MATCH("3.1",ITT_Others_OP_A,0))),"")</f>
        <v/>
      </c>
      <c r="G96" s="112" t="str">
        <f>IFERROR(IF(INDEX(ITT_Others_OP_J,MATCH("3.1",ITT_Others_OP_A,0))="","",INDEX(ITT_Others_OP_J,MATCH("3.1",ITT_Others_OP_A,0))),"")</f>
        <v/>
      </c>
      <c r="H96" s="112" t="str">
        <f>IFERROR(IF(INDEX(ITT_Others_OP_K,MATCH("3.1",ITT_Others_OP_A,0))="","",INDEX(ITT_Others_OP_K,MATCH("3.1",ITT_Others_OP_A,0))),"")</f>
        <v/>
      </c>
      <c r="I96" s="40"/>
      <c r="J96" s="40"/>
      <c r="K96" s="40"/>
      <c r="L96" s="40"/>
      <c r="M96" s="41" t="str">
        <f t="shared" si="10"/>
        <v/>
      </c>
      <c r="N96" s="40"/>
      <c r="O96" s="40"/>
      <c r="P96" s="40"/>
      <c r="Q96" s="40"/>
      <c r="R96" s="40"/>
      <c r="S96" s="157" t="str">
        <f t="shared" si="11"/>
        <v/>
      </c>
      <c r="T96" s="40"/>
      <c r="U96" s="40"/>
      <c r="V96" s="40"/>
      <c r="W96" s="40"/>
      <c r="X96" s="40"/>
      <c r="Y96" s="157" t="str">
        <f t="shared" si="12"/>
        <v/>
      </c>
      <c r="Z96" s="40"/>
      <c r="AA96" s="40"/>
      <c r="AB96" s="40"/>
      <c r="AC96" s="40"/>
      <c r="AD96" s="40"/>
      <c r="AE96" s="157" t="str">
        <f t="shared" si="13"/>
        <v/>
      </c>
      <c r="AF96" s="40"/>
      <c r="AG96" s="40"/>
      <c r="AH96" s="40"/>
      <c r="AI96" s="40"/>
      <c r="AJ96" s="40"/>
      <c r="AK96" s="157" t="str">
        <f t="shared" si="14"/>
        <v/>
      </c>
      <c r="AL96" s="40"/>
    </row>
    <row r="97" spans="1:38">
      <c r="A97" s="190"/>
      <c r="B97" s="190"/>
      <c r="C97" s="112" t="str">
        <f>IFERROR(IF(INDEX(ITT_Others_OP_A,MATCH("3.2",ITT_Others_OP_A,0))="","",INDEX(ITT_Others_OP_A,MATCH("3.2",ITT_Others_OP_A,0))),"")</f>
        <v>3.2</v>
      </c>
      <c r="D97" s="60" t="str">
        <f>IFERROR(IF(INDEX(ITT_Others_OP_B,MATCH("3.2",ITT_Others_OP_A,0))="","",INDEX(ITT_Others_OP_B,MATCH("3.2",ITT_Others_OP_A,0))),"")</f>
        <v/>
      </c>
      <c r="E97" s="40" t="str">
        <f>IFERROR(IF(INDEX(ITT_Others_OP_E,MATCH("3.2",ITT_Others_OP_A,0))="","",INDEX(ITT_Others_OP_E,MATCH("3.2",ITT_Others_OP_A,0))),"")</f>
        <v/>
      </c>
      <c r="F97" s="40" t="str">
        <f>IFERROR(IF(INDEX(ITT_Others_OP_G,MATCH("3.2",ITT_Others_OP_A,0))="","",INDEX(ITT_Others_OP_G,MATCH("3.2",ITT_Others_OP_A,0))),"")</f>
        <v/>
      </c>
      <c r="G97" s="112" t="str">
        <f>IFERROR(IF(INDEX(ITT_Others_OP_J,MATCH("3.2",ITT_Others_OP_A,0))="","",INDEX(ITT_Others_OP_J,MATCH("3.2",ITT_Others_OP_A,0))),"")</f>
        <v/>
      </c>
      <c r="H97" s="112" t="str">
        <f>IFERROR(IF(INDEX(ITT_Others_OP_K,MATCH("3.2",ITT_Others_OP_A,0))="","",INDEX(ITT_Others_OP_K,MATCH("3.2",ITT_Others_OP_A,0))),"")</f>
        <v/>
      </c>
      <c r="I97" s="40"/>
      <c r="J97" s="40"/>
      <c r="K97" s="40"/>
      <c r="L97" s="40"/>
      <c r="M97" s="41" t="str">
        <f t="shared" si="10"/>
        <v/>
      </c>
      <c r="N97" s="40"/>
      <c r="O97" s="40"/>
      <c r="P97" s="40"/>
      <c r="Q97" s="40"/>
      <c r="R97" s="40"/>
      <c r="S97" s="157" t="str">
        <f t="shared" si="11"/>
        <v/>
      </c>
      <c r="T97" s="40"/>
      <c r="U97" s="40"/>
      <c r="V97" s="40"/>
      <c r="W97" s="40"/>
      <c r="X97" s="40"/>
      <c r="Y97" s="157" t="str">
        <f t="shared" si="12"/>
        <v/>
      </c>
      <c r="Z97" s="40"/>
      <c r="AA97" s="40"/>
      <c r="AB97" s="40"/>
      <c r="AC97" s="40"/>
      <c r="AD97" s="40"/>
      <c r="AE97" s="157" t="str">
        <f t="shared" si="13"/>
        <v/>
      </c>
      <c r="AF97" s="40"/>
      <c r="AG97" s="40"/>
      <c r="AH97" s="40"/>
      <c r="AI97" s="40"/>
      <c r="AJ97" s="40"/>
      <c r="AK97" s="157" t="str">
        <f t="shared" si="14"/>
        <v/>
      </c>
      <c r="AL97" s="40"/>
    </row>
    <row r="98" spans="1:38">
      <c r="A98" s="190"/>
      <c r="B98" s="190"/>
      <c r="C98" s="112" t="str">
        <f>IFERROR(IF(INDEX(ITT_Others_OP_A,MATCH("3.3",ITT_Others_OP_A,0))="","",INDEX(ITT_Others_OP_A,MATCH("3.3",ITT_Others_OP_A,0))),"")</f>
        <v>3.3</v>
      </c>
      <c r="D98" s="60" t="str">
        <f>IFERROR(IF(INDEX(ITT_Others_OP_B,MATCH("3.3",ITT_Others_OP_A,0))="","",INDEX(ITT_Others_OP_B,MATCH("3.3",ITT_Others_OP_A,0))),"")</f>
        <v/>
      </c>
      <c r="E98" s="40" t="str">
        <f>IFERROR(IF(INDEX(ITT_Others_OP_E,MATCH("3.3",ITT_Others_OP_A,0))="","",INDEX(ITT_Others_OP_E,MATCH("3.3",ITT_Others_OP_A,0))),"")</f>
        <v/>
      </c>
      <c r="F98" s="40" t="str">
        <f>IFERROR(IF(INDEX(ITT_Others_OP_G,MATCH("3.3",ITT_Others_OP_A,0))="","",INDEX(ITT_Others_OP_G,MATCH("3.3",ITT_Others_OP_A,0))),"")</f>
        <v/>
      </c>
      <c r="G98" s="112" t="str">
        <f>IFERROR(IF(INDEX(ITT_Others_OP_J,MATCH("3.3",ITT_Others_OP_A,0))="","",INDEX(ITT_Others_OP_J,MATCH("3.3",ITT_Others_OP_A,0))),"")</f>
        <v/>
      </c>
      <c r="H98" s="112" t="str">
        <f>IFERROR(IF(INDEX(ITT_Others_OP_K,MATCH("3.3",ITT_Others_OP_A,0))="","",INDEX(ITT_Others_OP_K,MATCH("3.3",ITT_Others_OP_A,0))),"")</f>
        <v/>
      </c>
      <c r="I98" s="40"/>
      <c r="J98" s="40"/>
      <c r="K98" s="40"/>
      <c r="L98" s="40"/>
      <c r="M98" s="41" t="str">
        <f t="shared" si="10"/>
        <v/>
      </c>
      <c r="N98" s="40"/>
      <c r="O98" s="40"/>
      <c r="P98" s="40"/>
      <c r="Q98" s="40"/>
      <c r="R98" s="40"/>
      <c r="S98" s="157" t="str">
        <f t="shared" si="11"/>
        <v/>
      </c>
      <c r="T98" s="40"/>
      <c r="U98" s="40"/>
      <c r="V98" s="40"/>
      <c r="W98" s="40"/>
      <c r="X98" s="40"/>
      <c r="Y98" s="157" t="str">
        <f t="shared" si="12"/>
        <v/>
      </c>
      <c r="Z98" s="40"/>
      <c r="AA98" s="40"/>
      <c r="AB98" s="40"/>
      <c r="AC98" s="40"/>
      <c r="AD98" s="40"/>
      <c r="AE98" s="157" t="str">
        <f t="shared" si="13"/>
        <v/>
      </c>
      <c r="AF98" s="40"/>
      <c r="AG98" s="40"/>
      <c r="AH98" s="40"/>
      <c r="AI98" s="40"/>
      <c r="AJ98" s="40"/>
      <c r="AK98" s="157" t="str">
        <f t="shared" si="14"/>
        <v/>
      </c>
      <c r="AL98" s="40"/>
    </row>
    <row r="99" spans="1:38">
      <c r="A99" s="190"/>
      <c r="B99" s="190"/>
      <c r="C99" s="112" t="str">
        <f>IFERROR(IF(INDEX(ITT_Others_OP_A,MATCH("4.1",ITT_Others_OP_A,0))="","",INDEX(ITT_Others_OP_A,MATCH("4.1",ITT_Others_OP_A,0))),"")</f>
        <v>4.1</v>
      </c>
      <c r="D99" s="60" t="str">
        <f>IFERROR(IF(INDEX(ITT_Others_OP_B,MATCH("4.1",ITT_Others_OP_A,0))="","",INDEX(ITT_Others_OP_B,MATCH("4.1",ITT_Others_OP_A,0))),"")</f>
        <v/>
      </c>
      <c r="E99" s="40" t="str">
        <f>IFERROR(IF(INDEX(ITT_Others_OP_E,MATCH("4.1",ITT_Others_OP_A,0))="","",INDEX(ITT_Others_OP_E,MATCH("4.1",ITT_Others_OP_A,0))),"")</f>
        <v/>
      </c>
      <c r="F99" s="40" t="str">
        <f>IFERROR(IF(INDEX(ITT_Others_OP_G,MATCH("4.1",ITT_Others_OP_A,0))="","",INDEX(ITT_Others_OP_G,MATCH("4.1",ITT_Others_OP_A,0))),"")</f>
        <v/>
      </c>
      <c r="G99" s="112" t="str">
        <f>IFERROR(IF(INDEX(ITT_Others_OP_J,MATCH("4.1",ITT_Others_OP_A,0))="","",INDEX(ITT_Others_OP_J,MATCH("4.1",ITT_Others_OP_A,0))),"")</f>
        <v/>
      </c>
      <c r="H99" s="112" t="str">
        <f>IFERROR(IF(INDEX(ITT_Others_OP_K,MATCH("4.1",ITT_Others_OP_A,0))="","",INDEX(ITT_Others_OP_K,MATCH("4.1",ITT_Others_OP_A,0))),"")</f>
        <v/>
      </c>
      <c r="I99" s="40"/>
      <c r="J99" s="40"/>
      <c r="K99" s="40"/>
      <c r="L99" s="40"/>
      <c r="M99" s="41" t="str">
        <f t="shared" si="10"/>
        <v/>
      </c>
      <c r="N99" s="40"/>
      <c r="O99" s="40"/>
      <c r="P99" s="40"/>
      <c r="Q99" s="40"/>
      <c r="R99" s="40"/>
      <c r="S99" s="157" t="str">
        <f t="shared" si="11"/>
        <v/>
      </c>
      <c r="T99" s="40"/>
      <c r="U99" s="40"/>
      <c r="V99" s="40"/>
      <c r="W99" s="40"/>
      <c r="X99" s="40"/>
      <c r="Y99" s="157" t="str">
        <f t="shared" si="12"/>
        <v/>
      </c>
      <c r="Z99" s="40"/>
      <c r="AA99" s="40"/>
      <c r="AB99" s="40"/>
      <c r="AC99" s="40"/>
      <c r="AD99" s="40"/>
      <c r="AE99" s="157" t="str">
        <f t="shared" si="13"/>
        <v/>
      </c>
      <c r="AF99" s="40"/>
      <c r="AG99" s="40"/>
      <c r="AH99" s="40"/>
      <c r="AI99" s="40"/>
      <c r="AJ99" s="40"/>
      <c r="AK99" s="157" t="str">
        <f t="shared" si="14"/>
        <v/>
      </c>
      <c r="AL99" s="40"/>
    </row>
    <row r="100" spans="1:38">
      <c r="A100" s="190"/>
      <c r="B100" s="190"/>
      <c r="C100" s="112" t="str">
        <f>IFERROR(IF(INDEX(ITT_Others_OP_A,MATCH("4.2",ITT_Others_OP_A,0))="","",INDEX(ITT_Others_OP_A,MATCH("4.2",ITT_Others_OP_A,0))),"")</f>
        <v>4.2</v>
      </c>
      <c r="D100" s="60" t="str">
        <f>IFERROR(IF(INDEX(ITT_Others_OP_B,MATCH("4.2",ITT_Others_OP_A,0))="","",INDEX(ITT_Others_OP_B,MATCH("4.2",ITT_Others_OP_A,0))),"")</f>
        <v/>
      </c>
      <c r="E100" s="40" t="str">
        <f>IFERROR(IF(INDEX(ITT_Others_OP_E,MATCH("4.2",ITT_Others_OP_A,0))="","",INDEX(ITT_Others_OP_E,MATCH("4.2",ITT_Others_OP_A,0))),"")</f>
        <v/>
      </c>
      <c r="F100" s="40" t="str">
        <f>IFERROR(IF(INDEX(ITT_Others_OP_G,MATCH("4.2",ITT_Others_OP_A,0))="","",INDEX(ITT_Others_OP_G,MATCH("4.2",ITT_Others_OP_A,0))),"")</f>
        <v/>
      </c>
      <c r="G100" s="112" t="str">
        <f>IFERROR(IF(INDEX(ITT_Others_OP_J,MATCH("4.2",ITT_Others_OP_A,0))="","",INDEX(ITT_Others_OP_J,MATCH("4.2",ITT_Others_OP_A,0))),"")</f>
        <v/>
      </c>
      <c r="H100" s="112" t="str">
        <f>IFERROR(IF(INDEX(ITT_Others_OP_K,MATCH("4.2",ITT_Others_OP_A,0))="","",INDEX(ITT_Others_OP_K,MATCH("4.2",ITT_Others_OP_A,0))),"")</f>
        <v/>
      </c>
      <c r="I100" s="40"/>
      <c r="J100" s="40"/>
      <c r="K100" s="40"/>
      <c r="L100" s="40"/>
      <c r="M100" s="41" t="str">
        <f t="shared" si="10"/>
        <v/>
      </c>
      <c r="N100" s="40"/>
      <c r="O100" s="40"/>
      <c r="P100" s="40"/>
      <c r="Q100" s="40"/>
      <c r="R100" s="40"/>
      <c r="S100" s="157" t="str">
        <f t="shared" si="11"/>
        <v/>
      </c>
      <c r="T100" s="40"/>
      <c r="U100" s="40"/>
      <c r="V100" s="40"/>
      <c r="W100" s="40"/>
      <c r="X100" s="40"/>
      <c r="Y100" s="157" t="str">
        <f t="shared" si="12"/>
        <v/>
      </c>
      <c r="Z100" s="40"/>
      <c r="AA100" s="40"/>
      <c r="AB100" s="40"/>
      <c r="AC100" s="40"/>
      <c r="AD100" s="40"/>
      <c r="AE100" s="157" t="str">
        <f t="shared" si="13"/>
        <v/>
      </c>
      <c r="AF100" s="40"/>
      <c r="AG100" s="40"/>
      <c r="AH100" s="40"/>
      <c r="AI100" s="40"/>
      <c r="AJ100" s="40"/>
      <c r="AK100" s="157" t="str">
        <f t="shared" si="14"/>
        <v/>
      </c>
      <c r="AL100" s="40"/>
    </row>
    <row r="101" spans="1:38">
      <c r="A101" s="190"/>
      <c r="B101" s="190"/>
      <c r="C101" s="112" t="str">
        <f>IFERROR(IF(INDEX(ITT_Others_OP_A,MATCH("4.3",ITT_Others_OP_A,0))="","",INDEX(ITT_Others_OP_A,MATCH("4.3",ITT_Others_OP_A,0))),"")</f>
        <v>4.3</v>
      </c>
      <c r="D101" s="60" t="str">
        <f>IFERROR(IF(INDEX(ITT_Others_OP_B,MATCH("4.3",ITT_Others_OP_A,0))="","",INDEX(ITT_Others_OP_B,MATCH("4.3",ITT_Others_OP_A,0))),"")</f>
        <v/>
      </c>
      <c r="E101" s="40" t="str">
        <f>IFERROR(IF(INDEX(ITT_Others_OP_E,MATCH("4.3",ITT_Others_OP_A,0))="","",INDEX(ITT_Others_OP_E,MATCH("4.3",ITT_Others_OP_A,0))),"")</f>
        <v/>
      </c>
      <c r="F101" s="40" t="str">
        <f>IFERROR(IF(INDEX(ITT_Others_OP_G,MATCH("4.3",ITT_Others_OP_A,0))="","",INDEX(ITT_Others_OP_G,MATCH("4.3",ITT_Others_OP_A,0))),"")</f>
        <v/>
      </c>
      <c r="G101" s="112" t="str">
        <f>IFERROR(IF(INDEX(ITT_Others_OP_J,MATCH("4.3",ITT_Others_OP_A,0))="","",INDEX(ITT_Others_OP_J,MATCH("4.3",ITT_Others_OP_A,0))),"")</f>
        <v/>
      </c>
      <c r="H101" s="112" t="str">
        <f>IFERROR(IF(INDEX(ITT_Others_OP_K,MATCH("4.3",ITT_Others_OP_A,0))="","",INDEX(ITT_Others_OP_K,MATCH("4.3",ITT_Others_OP_A,0))),"")</f>
        <v/>
      </c>
      <c r="I101" s="40"/>
      <c r="J101" s="40"/>
      <c r="K101" s="40"/>
      <c r="L101" s="40"/>
      <c r="M101" s="41" t="str">
        <f t="shared" ref="M101:M104" si="15">IF(OR(L101="",$G101="",$H101=""),"",IF($H101-$G101=0,"",(L101-$G101)/($H101-$G101)))</f>
        <v/>
      </c>
      <c r="N101" s="40"/>
      <c r="O101" s="40"/>
      <c r="P101" s="40"/>
      <c r="Q101" s="40"/>
      <c r="R101" s="40"/>
      <c r="S101" s="157" t="str">
        <f t="shared" ref="S101:S104" si="16">IF(OR(R101="",$G101="",$H101=""),"",IF($H101-$G101=0,"",(R101-$G101)/($H101-$G101)))</f>
        <v/>
      </c>
      <c r="T101" s="40"/>
      <c r="U101" s="40"/>
      <c r="V101" s="40"/>
      <c r="W101" s="40"/>
      <c r="X101" s="40"/>
      <c r="Y101" s="157" t="str">
        <f t="shared" ref="Y101:Y104" si="17">IF(OR(X101="",$G101="",$H101=""),"",IF($H101-$G101=0,"",(X101-$G101)/($H101-$G101)))</f>
        <v/>
      </c>
      <c r="Z101" s="40"/>
      <c r="AA101" s="40"/>
      <c r="AB101" s="40"/>
      <c r="AC101" s="40"/>
      <c r="AD101" s="40"/>
      <c r="AE101" s="157" t="str">
        <f t="shared" ref="AE101:AE104" si="18">IF(OR(AD101="",$G101="",$H101=""),"",IF($H101-$G101=0,"",(AD101-$G101)/($H101-$G101)))</f>
        <v/>
      </c>
      <c r="AF101" s="40"/>
      <c r="AG101" s="40"/>
      <c r="AH101" s="40"/>
      <c r="AI101" s="40"/>
      <c r="AJ101" s="40"/>
      <c r="AK101" s="157" t="str">
        <f t="shared" ref="AK101:AK104" si="19">IF(OR(AJ101="",$G101="",$H101=""),"",IF($H101-$G101=0,"",(AJ101-$G101)/($H101-$G101)))</f>
        <v/>
      </c>
      <c r="AL101" s="40"/>
    </row>
    <row r="102" spans="1:38">
      <c r="A102" s="190"/>
      <c r="B102" s="190"/>
      <c r="C102" s="112" t="str">
        <f>IFERROR(IF(INDEX(ITT_Others_OP_A,MATCH("5.1",ITT_Others_OP_A,0))="","",INDEX(ITT_Others_OP_A,MATCH("5.1",ITT_Others_OP_A,0))),"")</f>
        <v>5.1</v>
      </c>
      <c r="D102" s="60" t="str">
        <f>IFERROR(IF(INDEX(ITT_Others_OP_B,MATCH("5.1",ITT_Others_OP_A,0))="","",INDEX(ITT_Others_OP_B,MATCH("5.1",ITT_Others_OP_A,0))),"")</f>
        <v/>
      </c>
      <c r="E102" s="40" t="str">
        <f>IFERROR(IF(INDEX(ITT_Others_OP_E,MATCH("5.1",ITT_Others_OP_A,0))="","",INDEX(ITT_Others_OP_E,MATCH("5.1",ITT_Others_OP_A,0))),"")</f>
        <v/>
      </c>
      <c r="F102" s="40" t="str">
        <f>IFERROR(IF(INDEX(ITT_Others_OP_G,MATCH("5.1",ITT_Others_OP_A,0))="","",INDEX(ITT_Others_OP_G,MATCH("5.1",ITT_Others_OP_A,0))),"")</f>
        <v/>
      </c>
      <c r="G102" s="112" t="str">
        <f>IFERROR(IF(INDEX(ITT_Others_OP_J,MATCH("5.1",ITT_Others_OP_A,0))="","",INDEX(ITT_Others_OP_J,MATCH("5.1",ITT_Others_OP_A,0))),"")</f>
        <v/>
      </c>
      <c r="H102" s="112" t="str">
        <f>IFERROR(IF(INDEX(ITT_Others_OP_K,MATCH("5.1",ITT_Others_OP_A,0))="","",INDEX(ITT_Others_OP_K,MATCH("5.1",ITT_Others_OP_A,0))),"")</f>
        <v/>
      </c>
      <c r="I102" s="40"/>
      <c r="J102" s="40"/>
      <c r="K102" s="40"/>
      <c r="L102" s="40"/>
      <c r="M102" s="41" t="str">
        <f t="shared" si="15"/>
        <v/>
      </c>
      <c r="N102" s="40"/>
      <c r="O102" s="40"/>
      <c r="P102" s="40"/>
      <c r="Q102" s="40"/>
      <c r="R102" s="40"/>
      <c r="S102" s="157" t="str">
        <f t="shared" si="16"/>
        <v/>
      </c>
      <c r="T102" s="40"/>
      <c r="U102" s="40"/>
      <c r="V102" s="40"/>
      <c r="W102" s="40"/>
      <c r="X102" s="40"/>
      <c r="Y102" s="157" t="str">
        <f t="shared" si="17"/>
        <v/>
      </c>
      <c r="Z102" s="40"/>
      <c r="AA102" s="40"/>
      <c r="AB102" s="40"/>
      <c r="AC102" s="40"/>
      <c r="AD102" s="40"/>
      <c r="AE102" s="157" t="str">
        <f t="shared" si="18"/>
        <v/>
      </c>
      <c r="AF102" s="40"/>
      <c r="AG102" s="40"/>
      <c r="AH102" s="40"/>
      <c r="AI102" s="40"/>
      <c r="AJ102" s="40"/>
      <c r="AK102" s="157" t="str">
        <f t="shared" si="19"/>
        <v/>
      </c>
      <c r="AL102" s="40"/>
    </row>
    <row r="103" spans="1:38">
      <c r="A103" s="190"/>
      <c r="B103" s="190"/>
      <c r="C103" s="112" t="str">
        <f>IFERROR(IF(INDEX(ITT_Others_OP_A,MATCH("5.2",ITT_Others_OP_A,0))="","",INDEX(ITT_Others_OP_A,MATCH("5.2",ITT_Others_OP_A,0))),"")</f>
        <v>5.2</v>
      </c>
      <c r="D103" s="60" t="str">
        <f>IFERROR(IF(INDEX(ITT_Others_OP_B,MATCH("5.2",ITT_Others_OP_A,0))="","",INDEX(ITT_Others_OP_B,MATCH("5.2",ITT_Others_OP_A,0))),"")</f>
        <v/>
      </c>
      <c r="E103" s="40" t="str">
        <f>IFERROR(IF(INDEX(ITT_Others_OP_E,MATCH("5.2",ITT_Others_OP_A,0))="","",INDEX(ITT_Others_OP_E,MATCH("5.2",ITT_Others_OP_A,0))),"")</f>
        <v/>
      </c>
      <c r="F103" s="40" t="str">
        <f>IFERROR(IF(INDEX(ITT_Others_OP_G,MATCH("5.2",ITT_Others_OP_A,0))="","",INDEX(ITT_Others_OP_G,MATCH("5.2",ITT_Others_OP_A,0))),"")</f>
        <v/>
      </c>
      <c r="G103" s="112" t="str">
        <f>IFERROR(IF(INDEX(ITT_Others_OP_J,MATCH("5.2",ITT_Others_OP_A,0))="","",INDEX(ITT_Others_OP_J,MATCH("5.2",ITT_Others_OP_A,0))),"")</f>
        <v/>
      </c>
      <c r="H103" s="112" t="str">
        <f>IFERROR(IF(INDEX(ITT_Others_OP_K,MATCH("5.2",ITT_Others_OP_A,0))="","",INDEX(ITT_Others_OP_K,MATCH("5.2",ITT_Others_OP_A,0))),"")</f>
        <v/>
      </c>
      <c r="I103" s="40"/>
      <c r="J103" s="40"/>
      <c r="K103" s="40"/>
      <c r="L103" s="40"/>
      <c r="M103" s="41" t="str">
        <f t="shared" si="15"/>
        <v/>
      </c>
      <c r="N103" s="40"/>
      <c r="O103" s="40"/>
      <c r="P103" s="40"/>
      <c r="Q103" s="40"/>
      <c r="R103" s="40"/>
      <c r="S103" s="157" t="str">
        <f t="shared" si="16"/>
        <v/>
      </c>
      <c r="T103" s="40"/>
      <c r="U103" s="40"/>
      <c r="V103" s="40"/>
      <c r="W103" s="40"/>
      <c r="X103" s="40"/>
      <c r="Y103" s="157" t="str">
        <f t="shared" si="17"/>
        <v/>
      </c>
      <c r="Z103" s="40"/>
      <c r="AA103" s="40"/>
      <c r="AB103" s="40"/>
      <c r="AC103" s="40"/>
      <c r="AD103" s="40"/>
      <c r="AE103" s="157" t="str">
        <f t="shared" si="18"/>
        <v/>
      </c>
      <c r="AF103" s="40"/>
      <c r="AG103" s="40"/>
      <c r="AH103" s="40"/>
      <c r="AI103" s="40"/>
      <c r="AJ103" s="40"/>
      <c r="AK103" s="157" t="str">
        <f t="shared" si="19"/>
        <v/>
      </c>
      <c r="AL103" s="40"/>
    </row>
    <row r="104" spans="1:38">
      <c r="A104" s="194"/>
      <c r="B104" s="194"/>
      <c r="C104" s="112" t="str">
        <f>IFERROR(IF(INDEX(ITT_Others_OP_A,MATCH("5.3",ITT_Others_OP_A,0))="","",INDEX(ITT_Others_OP_A,MATCH("5.3",ITT_Others_OP_A,0))),"")</f>
        <v>5.3</v>
      </c>
      <c r="D104" s="60" t="str">
        <f>IFERROR(IF(INDEX(ITT_Others_OP_B,MATCH("5.3",ITT_Others_OP_A,0))="","",INDEX(ITT_Others_OP_B,MATCH("5.3",ITT_Others_OP_A,0))),"")</f>
        <v/>
      </c>
      <c r="E104" s="40" t="str">
        <f>IFERROR(IF(INDEX(ITT_Others_OP_E,MATCH("5.3",ITT_Others_OP_A,0))="","",INDEX(ITT_Others_OP_E,MATCH("5.3",ITT_Others_OP_A,0))),"")</f>
        <v/>
      </c>
      <c r="F104" s="40" t="str">
        <f>IFERROR(IF(INDEX(ITT_Others_OP_G,MATCH("5.3",ITT_Others_OP_A,0))="","",INDEX(ITT_Others_OP_G,MATCH("5.3",ITT_Others_OP_A,0))),"")</f>
        <v/>
      </c>
      <c r="G104" s="112" t="str">
        <f>IFERROR(IF(INDEX(ITT_Others_OP_J,MATCH("5.3",ITT_Others_OP_A,0))="","",INDEX(ITT_Others_OP_J,MATCH("5.3",ITT_Others_OP_A,0))),"")</f>
        <v/>
      </c>
      <c r="H104" s="112" t="str">
        <f>IFERROR(IF(INDEX(ITT_Others_OP_K,MATCH("5.3",ITT_Others_OP_A,0))="","",INDEX(ITT_Others_OP_K,MATCH("5.3",ITT_Others_OP_A,0))),"")</f>
        <v/>
      </c>
      <c r="I104" s="40"/>
      <c r="J104" s="40"/>
      <c r="K104" s="40"/>
      <c r="L104" s="40"/>
      <c r="M104" s="41" t="str">
        <f t="shared" si="15"/>
        <v/>
      </c>
      <c r="N104" s="40"/>
      <c r="O104" s="40"/>
      <c r="P104" s="40"/>
      <c r="Q104" s="40"/>
      <c r="R104" s="40"/>
      <c r="S104" s="157" t="str">
        <f t="shared" si="16"/>
        <v/>
      </c>
      <c r="T104" s="40"/>
      <c r="U104" s="40"/>
      <c r="V104" s="40"/>
      <c r="W104" s="40"/>
      <c r="X104" s="40"/>
      <c r="Y104" s="157" t="str">
        <f t="shared" si="17"/>
        <v/>
      </c>
      <c r="Z104" s="40"/>
      <c r="AA104" s="40"/>
      <c r="AB104" s="40"/>
      <c r="AC104" s="40"/>
      <c r="AD104" s="40"/>
      <c r="AE104" s="157" t="str">
        <f t="shared" si="18"/>
        <v/>
      </c>
      <c r="AF104" s="40"/>
      <c r="AG104" s="40"/>
      <c r="AH104" s="40"/>
      <c r="AI104" s="40"/>
      <c r="AJ104" s="40"/>
      <c r="AK104" s="157" t="str">
        <f t="shared" si="19"/>
        <v/>
      </c>
      <c r="AL104" s="40"/>
    </row>
  </sheetData>
  <mergeCells count="29">
    <mergeCell ref="A1:AL1"/>
    <mergeCell ref="D3:D4"/>
    <mergeCell ref="A5:A24"/>
    <mergeCell ref="AA3:AF3"/>
    <mergeCell ref="B45:B49"/>
    <mergeCell ref="AG3:AL3"/>
    <mergeCell ref="B25:B29"/>
    <mergeCell ref="B10:B24"/>
    <mergeCell ref="H3:H4"/>
    <mergeCell ref="O3:T3"/>
    <mergeCell ref="B30:B44"/>
    <mergeCell ref="A45:A64"/>
    <mergeCell ref="C3:C4"/>
    <mergeCell ref="E3:E4"/>
    <mergeCell ref="B50:B64"/>
    <mergeCell ref="I3:N3"/>
    <mergeCell ref="A85:A104"/>
    <mergeCell ref="B5:B9"/>
    <mergeCell ref="U3:Z3"/>
    <mergeCell ref="B70:B84"/>
    <mergeCell ref="A3:A4"/>
    <mergeCell ref="G3:G4"/>
    <mergeCell ref="B85:B89"/>
    <mergeCell ref="A65:A84"/>
    <mergeCell ref="A25:A44"/>
    <mergeCell ref="B3:B4"/>
    <mergeCell ref="B65:B69"/>
    <mergeCell ref="F3:F4"/>
    <mergeCell ref="B90:B104"/>
  </mergeCells>
  <phoneticPr fontId="39" type="noConversion"/>
  <dataValidations count="2">
    <dataValidation allowBlank="1" showInputMessage="1" showErrorMessage="1" promptTitle="Cumulative Value" prompt="Please enter the cumulative value up to this quarter (not the quarterly increment)." sqref="I5:L104 O5:R104 U5:X104 AA5:AD104 AG5:AJ104" xr:uid="{00000000-0002-0000-0A00-000000000000}">
      <formula1>0</formula1>
      <formula2>0</formula2>
    </dataValidation>
    <dataValidation allowBlank="1" showInputMessage="1" showErrorMessage="1" promptTitle="Comments on Variance" prompt="Please share additional explanation about the achievement rate and any lessons learned." sqref="N5:N104 T5:T104 Z5:Z104 AF5:AF104 AL5:AL104" xr:uid="{00000000-0002-0000-0A00-000001000000}">
      <formula1>0</formula1>
      <formula2>0</formula2>
    </dataValidation>
  </dataValidations>
  <pageMargins left="0.25" right="0.25" top="0.75" bottom="0.75" header="0.511811023622047" footer="0.511811023622047"/>
  <pageSetup paperSize="9" scale="18"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100"/>
  <sheetViews>
    <sheetView view="pageBreakPreview" topLeftCell="I34" zoomScale="70" zoomScaleNormal="100" zoomScaleSheetLayoutView="70" workbookViewId="0">
      <selection activeCell="O7" sqref="O7"/>
    </sheetView>
  </sheetViews>
  <sheetFormatPr defaultColWidth="8.5" defaultRowHeight="17.399999999999999"/>
  <cols>
    <col min="1" max="1" width="29.5" style="109" customWidth="1"/>
    <col min="2" max="2" width="34.09765625" style="109" customWidth="1"/>
    <col min="3" max="12" width="43.296875" style="109" customWidth="1"/>
    <col min="13" max="14" width="43.296875" style="109" hidden="1" customWidth="1"/>
    <col min="15" max="15" width="82" style="109" customWidth="1"/>
    <col min="16" max="16" width="133.5" style="109" customWidth="1"/>
    <col min="17" max="17" width="74.3984375" style="109" bestFit="1" customWidth="1"/>
  </cols>
  <sheetData>
    <row r="1" spans="1:17" ht="69.599999999999994" customHeight="1">
      <c r="A1" t="s">
        <v>384</v>
      </c>
      <c r="B1" t="s">
        <v>385</v>
      </c>
      <c r="C1" s="45" t="s">
        <v>386</v>
      </c>
      <c r="D1" s="46" t="s">
        <v>387</v>
      </c>
      <c r="E1" s="46" t="s">
        <v>388</v>
      </c>
      <c r="F1" s="46" t="s">
        <v>389</v>
      </c>
      <c r="G1" s="46" t="s">
        <v>390</v>
      </c>
      <c r="H1" s="46" t="s">
        <v>391</v>
      </c>
      <c r="I1" s="46" t="s">
        <v>392</v>
      </c>
      <c r="J1" s="46" t="s">
        <v>393</v>
      </c>
      <c r="K1" s="46" t="s">
        <v>394</v>
      </c>
      <c r="L1" s="46" t="s">
        <v>395</v>
      </c>
      <c r="M1" s="46" t="s">
        <v>396</v>
      </c>
      <c r="N1" s="46" t="s">
        <v>397</v>
      </c>
      <c r="O1" s="47" t="s">
        <v>398</v>
      </c>
      <c r="P1" s="62" t="s">
        <v>399</v>
      </c>
      <c r="Q1" s="62" t="s">
        <v>400</v>
      </c>
    </row>
    <row r="2" spans="1:17" ht="41.25" customHeight="1">
      <c r="A2" s="48" t="s">
        <v>401</v>
      </c>
      <c r="B2" s="49" t="s">
        <v>402</v>
      </c>
      <c r="C2" s="169" t="s">
        <v>599</v>
      </c>
      <c r="D2" s="42" t="s">
        <v>404</v>
      </c>
      <c r="E2" s="169" t="s">
        <v>601</v>
      </c>
      <c r="F2" s="42" t="s">
        <v>405</v>
      </c>
      <c r="G2" s="169" t="s">
        <v>604</v>
      </c>
      <c r="H2" s="42" t="s">
        <v>406</v>
      </c>
      <c r="I2" s="42" t="s">
        <v>407</v>
      </c>
      <c r="J2" s="42" t="s">
        <v>408</v>
      </c>
      <c r="K2" s="169" t="s">
        <v>610</v>
      </c>
      <c r="L2" s="42" t="s">
        <v>409</v>
      </c>
      <c r="M2" s="42"/>
      <c r="N2" s="44" t="s">
        <v>410</v>
      </c>
      <c r="O2" s="173" t="s">
        <v>280</v>
      </c>
      <c r="P2" s="171" t="s">
        <v>280</v>
      </c>
      <c r="Q2" s="42" t="s">
        <v>410</v>
      </c>
    </row>
    <row r="3" spans="1:17" ht="54.75" customHeight="1">
      <c r="B3" s="49" t="s">
        <v>411</v>
      </c>
      <c r="C3" s="169" t="s">
        <v>600</v>
      </c>
      <c r="D3" s="42" t="s">
        <v>413</v>
      </c>
      <c r="E3" s="169" t="s">
        <v>602</v>
      </c>
      <c r="F3" s="42" t="s">
        <v>414</v>
      </c>
      <c r="G3" s="169" t="s">
        <v>605</v>
      </c>
      <c r="H3" s="42" t="s">
        <v>415</v>
      </c>
      <c r="I3" s="42" t="s">
        <v>416</v>
      </c>
      <c r="J3" s="42" t="s">
        <v>417</v>
      </c>
      <c r="K3" s="42"/>
      <c r="L3" s="42" t="s">
        <v>418</v>
      </c>
      <c r="M3" s="42"/>
      <c r="N3" s="44" t="s">
        <v>419</v>
      </c>
      <c r="O3" s="170" t="s">
        <v>401</v>
      </c>
      <c r="P3" s="172" t="s">
        <v>402</v>
      </c>
      <c r="Q3" s="42" t="s">
        <v>419</v>
      </c>
    </row>
    <row r="4" spans="1:17" ht="27" customHeight="1">
      <c r="B4" s="49" t="s">
        <v>420</v>
      </c>
      <c r="C4" s="169" t="s">
        <v>403</v>
      </c>
      <c r="D4" s="42" t="s">
        <v>422</v>
      </c>
      <c r="E4" s="169" t="s">
        <v>603</v>
      </c>
      <c r="F4" s="42" t="s">
        <v>423</v>
      </c>
      <c r="G4" s="169" t="s">
        <v>606</v>
      </c>
      <c r="H4" s="42" t="s">
        <v>424</v>
      </c>
      <c r="I4" s="42"/>
      <c r="J4" s="42" t="s">
        <v>425</v>
      </c>
      <c r="K4" s="42"/>
      <c r="L4" s="42" t="s">
        <v>426</v>
      </c>
      <c r="M4" s="42"/>
      <c r="N4" s="44" t="s">
        <v>427</v>
      </c>
      <c r="O4" s="173" t="s">
        <v>283</v>
      </c>
      <c r="P4" s="172" t="s">
        <v>411</v>
      </c>
      <c r="Q4" s="42" t="s">
        <v>427</v>
      </c>
    </row>
    <row r="5" spans="1:17" ht="41.25" customHeight="1">
      <c r="B5" s="49" t="s">
        <v>428</v>
      </c>
      <c r="C5" s="169" t="s">
        <v>412</v>
      </c>
      <c r="D5" s="42" t="s">
        <v>430</v>
      </c>
      <c r="E5" s="42"/>
      <c r="F5" s="42" t="s">
        <v>431</v>
      </c>
      <c r="G5" s="169" t="s">
        <v>607</v>
      </c>
      <c r="H5" s="42" t="s">
        <v>432</v>
      </c>
      <c r="I5" s="42"/>
      <c r="J5" s="42" t="s">
        <v>433</v>
      </c>
      <c r="K5" s="42"/>
      <c r="L5" s="42" t="s">
        <v>434</v>
      </c>
      <c r="M5" s="42"/>
      <c r="N5" s="44" t="s">
        <v>435</v>
      </c>
      <c r="O5" s="170" t="s">
        <v>599</v>
      </c>
      <c r="P5" s="172" t="s">
        <v>420</v>
      </c>
      <c r="Q5" s="42" t="s">
        <v>435</v>
      </c>
    </row>
    <row r="6" spans="1:17" ht="41.25" customHeight="1">
      <c r="B6" s="49" t="s">
        <v>436</v>
      </c>
      <c r="C6" s="169" t="s">
        <v>421</v>
      </c>
      <c r="D6" s="42" t="s">
        <v>438</v>
      </c>
      <c r="E6" s="42"/>
      <c r="F6" s="42" t="s">
        <v>439</v>
      </c>
      <c r="G6" s="169" t="s">
        <v>608</v>
      </c>
      <c r="H6" s="42" t="s">
        <v>440</v>
      </c>
      <c r="I6" s="42"/>
      <c r="J6" s="42" t="s">
        <v>441</v>
      </c>
      <c r="K6" s="42"/>
      <c r="L6" s="42" t="s">
        <v>442</v>
      </c>
      <c r="M6" s="42"/>
      <c r="N6" s="44" t="s">
        <v>443</v>
      </c>
      <c r="O6" s="170" t="s">
        <v>600</v>
      </c>
      <c r="P6" s="172" t="s">
        <v>428</v>
      </c>
      <c r="Q6" s="42" t="s">
        <v>443</v>
      </c>
    </row>
    <row r="7" spans="1:17" ht="54.75" customHeight="1">
      <c r="B7" s="49" t="s">
        <v>444</v>
      </c>
      <c r="C7" s="169" t="s">
        <v>429</v>
      </c>
      <c r="D7" s="42" t="s">
        <v>445</v>
      </c>
      <c r="E7" s="42"/>
      <c r="F7" s="42" t="s">
        <v>446</v>
      </c>
      <c r="G7" s="169" t="s">
        <v>609</v>
      </c>
      <c r="H7" s="42" t="s">
        <v>447</v>
      </c>
      <c r="I7" s="42"/>
      <c r="J7" s="42" t="s">
        <v>448</v>
      </c>
      <c r="K7" s="42"/>
      <c r="L7" s="42" t="s">
        <v>449</v>
      </c>
      <c r="M7" s="42"/>
      <c r="N7" s="44" t="s">
        <v>450</v>
      </c>
      <c r="O7" s="170" t="s">
        <v>403</v>
      </c>
      <c r="P7" s="172" t="s">
        <v>436</v>
      </c>
      <c r="Q7" s="42" t="s">
        <v>450</v>
      </c>
    </row>
    <row r="8" spans="1:17" ht="41.25" customHeight="1">
      <c r="B8" s="49" t="s">
        <v>451</v>
      </c>
      <c r="C8" s="169" t="s">
        <v>437</v>
      </c>
      <c r="D8" s="42" t="s">
        <v>452</v>
      </c>
      <c r="E8" s="42"/>
      <c r="F8" s="42" t="s">
        <v>453</v>
      </c>
      <c r="G8" s="42"/>
      <c r="H8" s="52" t="s">
        <v>454</v>
      </c>
      <c r="I8" s="42"/>
      <c r="J8" s="42" t="s">
        <v>455</v>
      </c>
      <c r="K8" s="42"/>
      <c r="L8" s="42" t="s">
        <v>456</v>
      </c>
      <c r="M8" s="42"/>
      <c r="N8" s="44" t="s">
        <v>457</v>
      </c>
      <c r="O8" s="170" t="s">
        <v>412</v>
      </c>
      <c r="P8" s="172" t="s">
        <v>444</v>
      </c>
      <c r="Q8" s="42" t="s">
        <v>457</v>
      </c>
    </row>
    <row r="9" spans="1:17" ht="27" customHeight="1">
      <c r="B9" s="49" t="s">
        <v>458</v>
      </c>
      <c r="C9" s="42"/>
      <c r="D9" s="42" t="s">
        <v>459</v>
      </c>
      <c r="E9" s="42"/>
      <c r="F9" s="42" t="s">
        <v>460</v>
      </c>
      <c r="G9" s="44"/>
      <c r="H9" s="42" t="s">
        <v>410</v>
      </c>
      <c r="I9" s="43"/>
      <c r="J9" s="42" t="s">
        <v>461</v>
      </c>
      <c r="K9" s="42"/>
      <c r="L9" s="42" t="s">
        <v>462</v>
      </c>
      <c r="M9" s="42"/>
      <c r="N9" s="44" t="s">
        <v>463</v>
      </c>
      <c r="O9" s="170" t="s">
        <v>421</v>
      </c>
      <c r="P9" s="172" t="s">
        <v>451</v>
      </c>
      <c r="Q9" s="42" t="s">
        <v>463</v>
      </c>
    </row>
    <row r="10" spans="1:17" ht="41.25" customHeight="1">
      <c r="B10" s="49" t="s">
        <v>464</v>
      </c>
      <c r="C10" s="42"/>
      <c r="D10" s="42" t="s">
        <v>465</v>
      </c>
      <c r="E10" s="42"/>
      <c r="F10" s="42" t="s">
        <v>466</v>
      </c>
      <c r="G10" s="44"/>
      <c r="H10" s="42" t="s">
        <v>419</v>
      </c>
      <c r="I10" s="43"/>
      <c r="J10" s="52" t="s">
        <v>467</v>
      </c>
      <c r="K10" s="42"/>
      <c r="L10" s="42" t="s">
        <v>468</v>
      </c>
      <c r="M10" s="42"/>
      <c r="N10" s="44" t="s">
        <v>469</v>
      </c>
      <c r="O10" s="170" t="s">
        <v>429</v>
      </c>
      <c r="P10" s="172" t="s">
        <v>458</v>
      </c>
      <c r="Q10" s="42" t="s">
        <v>469</v>
      </c>
    </row>
    <row r="11" spans="1:17" ht="54.75" customHeight="1">
      <c r="B11" s="49" t="s">
        <v>471</v>
      </c>
      <c r="C11" s="42"/>
      <c r="D11" s="42" t="s">
        <v>472</v>
      </c>
      <c r="E11" s="42"/>
      <c r="F11" s="42" t="s">
        <v>473</v>
      </c>
      <c r="G11" s="44"/>
      <c r="H11" s="42" t="s">
        <v>427</v>
      </c>
      <c r="I11" s="53"/>
      <c r="J11" s="42"/>
      <c r="K11" s="43"/>
      <c r="L11" s="42" t="s">
        <v>474</v>
      </c>
      <c r="M11" s="42"/>
      <c r="N11" s="44" t="s">
        <v>475</v>
      </c>
      <c r="O11" s="170" t="s">
        <v>437</v>
      </c>
      <c r="P11" s="172" t="s">
        <v>464</v>
      </c>
      <c r="Q11" s="42" t="s">
        <v>475</v>
      </c>
    </row>
    <row r="12" spans="1:17" ht="27" customHeight="1">
      <c r="B12" s="54" t="s">
        <v>476</v>
      </c>
      <c r="C12" s="42"/>
      <c r="D12" s="42" t="s">
        <v>477</v>
      </c>
      <c r="E12" s="42"/>
      <c r="F12" s="42" t="s">
        <v>478</v>
      </c>
      <c r="G12" s="44"/>
      <c r="H12" s="42" t="s">
        <v>435</v>
      </c>
      <c r="I12" s="53"/>
      <c r="J12" s="42"/>
      <c r="K12" s="43"/>
      <c r="L12" s="42" t="s">
        <v>479</v>
      </c>
      <c r="M12" s="42"/>
      <c r="N12" s="44" t="s">
        <v>480</v>
      </c>
      <c r="O12" s="173" t="s">
        <v>470</v>
      </c>
      <c r="P12" s="172" t="s">
        <v>471</v>
      </c>
      <c r="Q12" s="42" t="s">
        <v>480</v>
      </c>
    </row>
    <row r="13" spans="1:17" ht="41.25" customHeight="1">
      <c r="B13" s="42" t="s">
        <v>410</v>
      </c>
      <c r="C13" s="43"/>
      <c r="D13" s="42" t="s">
        <v>481</v>
      </c>
      <c r="E13" s="42"/>
      <c r="F13" s="42" t="s">
        <v>482</v>
      </c>
      <c r="G13" s="44"/>
      <c r="H13" s="42" t="s">
        <v>443</v>
      </c>
      <c r="I13" s="53"/>
      <c r="J13" s="42"/>
      <c r="K13" s="43"/>
      <c r="L13" s="42" t="s">
        <v>483</v>
      </c>
      <c r="M13" s="42"/>
      <c r="N13" s="44" t="s">
        <v>484</v>
      </c>
      <c r="O13" s="170" t="s">
        <v>601</v>
      </c>
      <c r="P13" s="172" t="s">
        <v>476</v>
      </c>
      <c r="Q13" s="42" t="s">
        <v>484</v>
      </c>
    </row>
    <row r="14" spans="1:17" ht="27" customHeight="1">
      <c r="B14" s="42" t="s">
        <v>419</v>
      </c>
      <c r="C14" s="43"/>
      <c r="D14" s="52" t="s">
        <v>486</v>
      </c>
      <c r="E14" s="42"/>
      <c r="F14" s="42" t="s">
        <v>487</v>
      </c>
      <c r="G14" s="44"/>
      <c r="H14" s="42" t="s">
        <v>450</v>
      </c>
      <c r="I14" s="53"/>
      <c r="J14" s="42"/>
      <c r="K14" s="43"/>
      <c r="L14" s="52" t="s">
        <v>488</v>
      </c>
      <c r="M14" s="42"/>
      <c r="N14" s="44"/>
      <c r="O14" s="170" t="s">
        <v>602</v>
      </c>
      <c r="P14" s="171" t="s">
        <v>283</v>
      </c>
    </row>
    <row r="15" spans="1:17" ht="27" customHeight="1">
      <c r="B15" s="42" t="s">
        <v>427</v>
      </c>
      <c r="C15" s="53"/>
      <c r="D15" s="42" t="s">
        <v>410</v>
      </c>
      <c r="E15" s="43"/>
      <c r="F15" s="42" t="s">
        <v>489</v>
      </c>
      <c r="G15" s="44"/>
      <c r="H15" s="42" t="s">
        <v>457</v>
      </c>
      <c r="I15" s="53"/>
      <c r="J15" s="42"/>
      <c r="K15" s="53"/>
      <c r="L15" s="42"/>
      <c r="M15" s="43"/>
      <c r="N15" s="44"/>
      <c r="O15" s="170" t="s">
        <v>603</v>
      </c>
      <c r="P15" s="172" t="s">
        <v>404</v>
      </c>
    </row>
    <row r="16" spans="1:17" ht="27" customHeight="1">
      <c r="B16" s="42" t="s">
        <v>435</v>
      </c>
      <c r="C16" s="53"/>
      <c r="D16" s="42" t="s">
        <v>419</v>
      </c>
      <c r="E16" s="43"/>
      <c r="F16" s="42" t="s">
        <v>490</v>
      </c>
      <c r="G16" s="44"/>
      <c r="H16" s="42" t="s">
        <v>463</v>
      </c>
      <c r="I16" s="53"/>
      <c r="J16" s="42"/>
      <c r="K16" s="53"/>
      <c r="L16" s="42"/>
      <c r="M16" s="43"/>
      <c r="N16" s="44"/>
      <c r="O16" s="173" t="s">
        <v>502</v>
      </c>
      <c r="P16" s="172" t="s">
        <v>413</v>
      </c>
    </row>
    <row r="17" spans="2:16" ht="41.25" customHeight="1">
      <c r="B17" s="42" t="s">
        <v>443</v>
      </c>
      <c r="C17" s="53"/>
      <c r="D17" s="42" t="s">
        <v>427</v>
      </c>
      <c r="E17" s="43"/>
      <c r="F17" s="42" t="s">
        <v>491</v>
      </c>
      <c r="G17" s="44"/>
      <c r="H17" s="42" t="s">
        <v>469</v>
      </c>
      <c r="I17" s="53"/>
      <c r="J17" s="42"/>
      <c r="K17" s="53"/>
      <c r="L17" s="42"/>
      <c r="M17" s="43"/>
      <c r="N17" s="44"/>
      <c r="O17" s="170" t="s">
        <v>604</v>
      </c>
      <c r="P17" s="172" t="s">
        <v>422</v>
      </c>
    </row>
    <row r="18" spans="2:16" ht="41.25" customHeight="1">
      <c r="B18" s="42" t="s">
        <v>450</v>
      </c>
      <c r="C18" s="53"/>
      <c r="D18" s="42" t="s">
        <v>435</v>
      </c>
      <c r="E18" s="43"/>
      <c r="F18" s="42" t="s">
        <v>492</v>
      </c>
      <c r="G18" s="44"/>
      <c r="H18" s="42" t="s">
        <v>475</v>
      </c>
      <c r="I18" s="53"/>
      <c r="J18" s="42"/>
      <c r="K18" s="53"/>
      <c r="L18" s="42"/>
      <c r="M18" s="43"/>
      <c r="N18" s="44"/>
      <c r="O18" s="170" t="s">
        <v>605</v>
      </c>
      <c r="P18" s="172" t="s">
        <v>430</v>
      </c>
    </row>
    <row r="19" spans="2:16" ht="41.25" customHeight="1">
      <c r="B19" s="42" t="s">
        <v>457</v>
      </c>
      <c r="C19" s="53"/>
      <c r="D19" s="42" t="s">
        <v>443</v>
      </c>
      <c r="E19" s="43"/>
      <c r="F19" s="42" t="s">
        <v>493</v>
      </c>
      <c r="G19" s="44"/>
      <c r="H19" s="42" t="s">
        <v>480</v>
      </c>
      <c r="I19" s="53"/>
      <c r="J19" s="42"/>
      <c r="K19" s="53"/>
      <c r="L19" s="42"/>
      <c r="M19" s="43"/>
      <c r="N19" s="44"/>
      <c r="O19" s="170" t="s">
        <v>606</v>
      </c>
      <c r="P19" s="172" t="s">
        <v>438</v>
      </c>
    </row>
    <row r="20" spans="2:16" ht="27" customHeight="1">
      <c r="B20" s="42" t="s">
        <v>463</v>
      </c>
      <c r="C20" s="53"/>
      <c r="D20" s="42" t="s">
        <v>450</v>
      </c>
      <c r="E20" s="43"/>
      <c r="F20" s="42" t="s">
        <v>494</v>
      </c>
      <c r="G20" s="44"/>
      <c r="H20" s="42" t="s">
        <v>484</v>
      </c>
      <c r="I20" s="53"/>
      <c r="J20" s="42"/>
      <c r="K20" s="53"/>
      <c r="L20" s="42"/>
      <c r="M20" s="43"/>
      <c r="N20" s="44"/>
      <c r="O20" s="170" t="s">
        <v>607</v>
      </c>
      <c r="P20" s="172" t="s">
        <v>445</v>
      </c>
    </row>
    <row r="21" spans="2:16" ht="41.25" customHeight="1">
      <c r="B21" s="42" t="s">
        <v>469</v>
      </c>
      <c r="C21" s="53"/>
      <c r="D21" s="42" t="s">
        <v>457</v>
      </c>
      <c r="E21" s="43"/>
      <c r="F21" s="42" t="s">
        <v>495</v>
      </c>
      <c r="G21" s="42"/>
      <c r="H21" s="39"/>
      <c r="I21" s="44"/>
      <c r="J21" s="42"/>
      <c r="K21" s="53"/>
      <c r="L21" s="42"/>
      <c r="M21" s="43"/>
      <c r="N21" s="44"/>
      <c r="O21" s="170" t="s">
        <v>608</v>
      </c>
      <c r="P21" s="172" t="s">
        <v>452</v>
      </c>
    </row>
    <row r="22" spans="2:16" ht="41.25" customHeight="1">
      <c r="B22" s="42" t="s">
        <v>475</v>
      </c>
      <c r="C22" s="53"/>
      <c r="D22" s="42" t="s">
        <v>463</v>
      </c>
      <c r="E22" s="43"/>
      <c r="F22" s="42" t="s">
        <v>496</v>
      </c>
      <c r="G22" s="42"/>
      <c r="H22" s="42"/>
      <c r="I22" s="44"/>
      <c r="J22" s="42"/>
      <c r="K22" s="53"/>
      <c r="L22" s="42"/>
      <c r="M22" s="43"/>
      <c r="N22" s="44"/>
      <c r="O22" s="170" t="s">
        <v>609</v>
      </c>
      <c r="P22" s="172" t="s">
        <v>459</v>
      </c>
    </row>
    <row r="23" spans="2:16" ht="41.25" customHeight="1">
      <c r="B23" s="42" t="s">
        <v>480</v>
      </c>
      <c r="C23" s="53"/>
      <c r="D23" s="42" t="s">
        <v>469</v>
      </c>
      <c r="E23" s="43"/>
      <c r="F23" s="42" t="s">
        <v>497</v>
      </c>
      <c r="G23" s="42"/>
      <c r="H23" s="42"/>
      <c r="I23" s="42"/>
      <c r="J23" s="39"/>
      <c r="K23" s="44"/>
      <c r="L23" s="42"/>
      <c r="M23" s="43"/>
      <c r="N23" s="44"/>
      <c r="O23" s="173" t="s">
        <v>612</v>
      </c>
      <c r="P23" s="172" t="s">
        <v>465</v>
      </c>
    </row>
    <row r="24" spans="2:16" ht="27" customHeight="1">
      <c r="B24" s="42" t="s">
        <v>484</v>
      </c>
      <c r="C24" s="53"/>
      <c r="D24" s="42" t="s">
        <v>475</v>
      </c>
      <c r="E24" s="43"/>
      <c r="F24" s="42" t="s">
        <v>498</v>
      </c>
      <c r="G24" s="42"/>
      <c r="H24" s="42"/>
      <c r="I24" s="42"/>
      <c r="J24" s="42"/>
      <c r="K24" s="44"/>
      <c r="L24" s="42"/>
      <c r="M24" s="43"/>
      <c r="N24" s="44"/>
      <c r="O24" s="170" t="s">
        <v>407</v>
      </c>
      <c r="P24" s="172" t="s">
        <v>472</v>
      </c>
    </row>
    <row r="25" spans="2:16" ht="27" customHeight="1">
      <c r="C25" s="44"/>
      <c r="D25" s="42" t="s">
        <v>480</v>
      </c>
      <c r="E25" s="43"/>
      <c r="F25" s="42" t="s">
        <v>499</v>
      </c>
      <c r="G25" s="42"/>
      <c r="H25" s="42"/>
      <c r="I25" s="42"/>
      <c r="J25" s="42"/>
      <c r="K25" s="44"/>
      <c r="L25" s="42"/>
      <c r="M25" s="43"/>
      <c r="N25" s="44"/>
      <c r="O25" s="170" t="s">
        <v>416</v>
      </c>
      <c r="P25" s="172" t="s">
        <v>477</v>
      </c>
    </row>
    <row r="26" spans="2:16" ht="27" customHeight="1">
      <c r="C26" s="44"/>
      <c r="D26" s="42" t="s">
        <v>484</v>
      </c>
      <c r="E26" s="43"/>
      <c r="F26" s="42" t="s">
        <v>500</v>
      </c>
      <c r="G26" s="42"/>
      <c r="H26" s="42"/>
      <c r="I26" s="42"/>
      <c r="J26" s="42"/>
      <c r="K26" s="44"/>
      <c r="L26" s="42"/>
      <c r="M26" s="43"/>
      <c r="N26" s="44"/>
      <c r="O26" s="173" t="s">
        <v>503</v>
      </c>
      <c r="P26" s="172" t="s">
        <v>481</v>
      </c>
    </row>
    <row r="27" spans="2:16" ht="27" customHeight="1">
      <c r="C27" s="42"/>
      <c r="D27" s="39"/>
      <c r="E27" s="42"/>
      <c r="F27" s="52" t="s">
        <v>501</v>
      </c>
      <c r="G27" s="42"/>
      <c r="H27" s="42"/>
      <c r="I27" s="42"/>
      <c r="J27" s="42"/>
      <c r="K27" s="42"/>
      <c r="L27" s="39"/>
      <c r="M27" s="42"/>
      <c r="N27" s="44"/>
      <c r="O27" s="170" t="s">
        <v>611</v>
      </c>
      <c r="P27" s="172" t="s">
        <v>486</v>
      </c>
    </row>
    <row r="28" spans="2:16" ht="27" customHeight="1">
      <c r="C28" s="42"/>
      <c r="D28" s="42"/>
      <c r="E28" s="44"/>
      <c r="F28" s="42" t="s">
        <v>410</v>
      </c>
      <c r="G28" s="43"/>
      <c r="H28" s="42"/>
      <c r="I28" s="42"/>
      <c r="J28" s="42"/>
      <c r="K28" s="42"/>
      <c r="L28" s="42"/>
      <c r="M28" s="42"/>
      <c r="N28" s="42"/>
      <c r="P28" s="50" t="s">
        <v>470</v>
      </c>
    </row>
    <row r="29" spans="2:16">
      <c r="F29" s="42" t="s">
        <v>419</v>
      </c>
      <c r="P29" s="51" t="s">
        <v>405</v>
      </c>
    </row>
    <row r="30" spans="2:16">
      <c r="F30" s="42" t="s">
        <v>427</v>
      </c>
      <c r="P30" s="51" t="s">
        <v>414</v>
      </c>
    </row>
    <row r="31" spans="2:16" ht="27" customHeight="1">
      <c r="F31" s="42" t="s">
        <v>435</v>
      </c>
      <c r="P31" s="51" t="s">
        <v>423</v>
      </c>
    </row>
    <row r="32" spans="2:16" ht="27" customHeight="1">
      <c r="F32" s="42" t="s">
        <v>443</v>
      </c>
      <c r="P32" s="51" t="s">
        <v>431</v>
      </c>
    </row>
    <row r="33" spans="6:16">
      <c r="F33" s="42" t="s">
        <v>450</v>
      </c>
      <c r="P33" s="51" t="s">
        <v>439</v>
      </c>
    </row>
    <row r="34" spans="6:16" ht="27" customHeight="1">
      <c r="F34" s="42" t="s">
        <v>457</v>
      </c>
      <c r="P34" s="51" t="s">
        <v>446</v>
      </c>
    </row>
    <row r="35" spans="6:16">
      <c r="F35" s="42" t="s">
        <v>463</v>
      </c>
      <c r="P35" s="51" t="s">
        <v>453</v>
      </c>
    </row>
    <row r="36" spans="6:16" ht="41.25" customHeight="1">
      <c r="F36" s="42" t="s">
        <v>469</v>
      </c>
      <c r="P36" s="51" t="s">
        <v>460</v>
      </c>
    </row>
    <row r="37" spans="6:16" ht="27" customHeight="1">
      <c r="F37" s="42" t="s">
        <v>475</v>
      </c>
      <c r="P37" s="51" t="s">
        <v>466</v>
      </c>
    </row>
    <row r="38" spans="6:16" ht="27" customHeight="1">
      <c r="F38" s="42" t="s">
        <v>480</v>
      </c>
      <c r="P38" s="51" t="s">
        <v>473</v>
      </c>
    </row>
    <row r="39" spans="6:16" ht="27" customHeight="1">
      <c r="F39" s="42" t="s">
        <v>484</v>
      </c>
      <c r="P39" s="51" t="s">
        <v>478</v>
      </c>
    </row>
    <row r="40" spans="6:16">
      <c r="P40" s="51" t="s">
        <v>482</v>
      </c>
    </row>
    <row r="41" spans="6:16">
      <c r="P41" s="51" t="s">
        <v>487</v>
      </c>
    </row>
    <row r="42" spans="6:16">
      <c r="P42" s="51" t="s">
        <v>489</v>
      </c>
    </row>
    <row r="43" spans="6:16">
      <c r="P43" s="51" t="s">
        <v>490</v>
      </c>
    </row>
    <row r="44" spans="6:16">
      <c r="P44" s="51" t="s">
        <v>491</v>
      </c>
    </row>
    <row r="45" spans="6:16">
      <c r="P45" s="51" t="s">
        <v>492</v>
      </c>
    </row>
    <row r="46" spans="6:16">
      <c r="P46" s="51" t="s">
        <v>493</v>
      </c>
    </row>
    <row r="47" spans="6:16">
      <c r="P47" s="51" t="s">
        <v>494</v>
      </c>
    </row>
    <row r="48" spans="6:16">
      <c r="P48" s="51" t="s">
        <v>495</v>
      </c>
    </row>
    <row r="49" spans="16:16">
      <c r="P49" s="51" t="s">
        <v>496</v>
      </c>
    </row>
    <row r="50" spans="16:16">
      <c r="P50" s="51" t="s">
        <v>497</v>
      </c>
    </row>
    <row r="51" spans="16:16">
      <c r="P51" s="51" t="s">
        <v>498</v>
      </c>
    </row>
    <row r="52" spans="16:16">
      <c r="P52" s="51" t="s">
        <v>499</v>
      </c>
    </row>
    <row r="53" spans="16:16">
      <c r="P53" s="51" t="s">
        <v>500</v>
      </c>
    </row>
    <row r="54" spans="16:16">
      <c r="P54" s="51" t="s">
        <v>501</v>
      </c>
    </row>
    <row r="55" spans="16:16">
      <c r="P55" s="50" t="s">
        <v>502</v>
      </c>
    </row>
    <row r="56" spans="16:16">
      <c r="P56" s="51" t="s">
        <v>406</v>
      </c>
    </row>
    <row r="57" spans="16:16">
      <c r="P57" s="51" t="s">
        <v>415</v>
      </c>
    </row>
    <row r="58" spans="16:16">
      <c r="P58" s="51" t="s">
        <v>424</v>
      </c>
    </row>
    <row r="59" spans="16:16">
      <c r="P59" s="51" t="s">
        <v>432</v>
      </c>
    </row>
    <row r="60" spans="16:16">
      <c r="P60" s="51" t="s">
        <v>440</v>
      </c>
    </row>
    <row r="61" spans="16:16">
      <c r="P61" s="51" t="s">
        <v>447</v>
      </c>
    </row>
    <row r="62" spans="16:16">
      <c r="P62" s="51" t="s">
        <v>454</v>
      </c>
    </row>
    <row r="63" spans="16:16">
      <c r="P63" s="50" t="s">
        <v>485</v>
      </c>
    </row>
    <row r="64" spans="16:16">
      <c r="P64" s="51" t="s">
        <v>416</v>
      </c>
    </row>
    <row r="65" spans="16:16">
      <c r="P65" s="51" t="s">
        <v>408</v>
      </c>
    </row>
    <row r="66" spans="16:16">
      <c r="P66" s="51" t="s">
        <v>417</v>
      </c>
    </row>
    <row r="67" spans="16:16">
      <c r="P67" s="51" t="s">
        <v>425</v>
      </c>
    </row>
    <row r="68" spans="16:16">
      <c r="P68" s="51" t="s">
        <v>433</v>
      </c>
    </row>
    <row r="69" spans="16:16">
      <c r="P69" s="51" t="s">
        <v>441</v>
      </c>
    </row>
    <row r="70" spans="16:16">
      <c r="P70" s="51" t="s">
        <v>448</v>
      </c>
    </row>
    <row r="71" spans="16:16">
      <c r="P71" s="51" t="s">
        <v>455</v>
      </c>
    </row>
    <row r="72" spans="16:16">
      <c r="P72" s="51" t="s">
        <v>461</v>
      </c>
    </row>
    <row r="73" spans="16:16">
      <c r="P73" s="51" t="s">
        <v>467</v>
      </c>
    </row>
    <row r="74" spans="16:16">
      <c r="P74" s="50" t="s">
        <v>503</v>
      </c>
    </row>
    <row r="75" spans="16:16">
      <c r="P75" s="51" t="s">
        <v>409</v>
      </c>
    </row>
    <row r="76" spans="16:16">
      <c r="P76" s="51" t="s">
        <v>418</v>
      </c>
    </row>
    <row r="77" spans="16:16">
      <c r="P77" s="51" t="s">
        <v>426</v>
      </c>
    </row>
    <row r="78" spans="16:16">
      <c r="P78" s="51" t="s">
        <v>434</v>
      </c>
    </row>
    <row r="79" spans="16:16">
      <c r="P79" s="51" t="s">
        <v>442</v>
      </c>
    </row>
    <row r="80" spans="16:16">
      <c r="P80" s="51" t="s">
        <v>449</v>
      </c>
    </row>
    <row r="81" spans="16:16">
      <c r="P81" s="51" t="s">
        <v>456</v>
      </c>
    </row>
    <row r="82" spans="16:16">
      <c r="P82" s="51" t="s">
        <v>462</v>
      </c>
    </row>
    <row r="83" spans="16:16">
      <c r="P83" s="51" t="s">
        <v>468</v>
      </c>
    </row>
    <row r="84" spans="16:16">
      <c r="P84" s="51" t="s">
        <v>474</v>
      </c>
    </row>
    <row r="85" spans="16:16">
      <c r="P85" s="51" t="s">
        <v>479</v>
      </c>
    </row>
    <row r="86" spans="16:16">
      <c r="P86" s="51" t="s">
        <v>483</v>
      </c>
    </row>
    <row r="87" spans="16:16">
      <c r="P87" s="51" t="s">
        <v>488</v>
      </c>
    </row>
    <row r="88" spans="16:16">
      <c r="P88" s="50" t="s">
        <v>504</v>
      </c>
    </row>
    <row r="89" spans="16:16">
      <c r="P89" s="51" t="s">
        <v>410</v>
      </c>
    </row>
    <row r="90" spans="16:16">
      <c r="P90" s="51" t="s">
        <v>419</v>
      </c>
    </row>
    <row r="91" spans="16:16">
      <c r="P91" s="51" t="s">
        <v>427</v>
      </c>
    </row>
    <row r="92" spans="16:16">
      <c r="P92" s="51" t="s">
        <v>435</v>
      </c>
    </row>
    <row r="93" spans="16:16">
      <c r="P93" s="51" t="s">
        <v>443</v>
      </c>
    </row>
    <row r="94" spans="16:16">
      <c r="P94" s="51" t="s">
        <v>450</v>
      </c>
    </row>
    <row r="95" spans="16:16">
      <c r="P95" s="51" t="s">
        <v>457</v>
      </c>
    </row>
    <row r="96" spans="16:16">
      <c r="P96" s="51" t="s">
        <v>463</v>
      </c>
    </row>
    <row r="97" spans="16:16">
      <c r="P97" s="51" t="s">
        <v>469</v>
      </c>
    </row>
    <row r="98" spans="16:16">
      <c r="P98" s="51" t="s">
        <v>475</v>
      </c>
    </row>
    <row r="99" spans="16:16">
      <c r="P99" s="51" t="s">
        <v>480</v>
      </c>
    </row>
    <row r="100" spans="16:16">
      <c r="P100" s="51" t="s">
        <v>484</v>
      </c>
    </row>
  </sheetData>
  <phoneticPr fontId="39" type="noConversion"/>
  <pageMargins left="0.7" right="0.7" top="0.75" bottom="0.75" header="0.511811023622047" footer="0.511811023622047"/>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7"/>
  <sheetViews>
    <sheetView view="pageBreakPreview" zoomScaleNormal="100" workbookViewId="0">
      <selection activeCell="F25" sqref="F25"/>
    </sheetView>
  </sheetViews>
  <sheetFormatPr defaultColWidth="8.5" defaultRowHeight="17.399999999999999"/>
  <cols>
    <col min="1" max="1" width="21.19921875" style="109" customWidth="1"/>
    <col min="2" max="2" width="27.5" style="109" customWidth="1"/>
    <col min="3" max="3" width="23.5" style="109" customWidth="1"/>
    <col min="4" max="4" width="32.09765625" style="109" customWidth="1"/>
    <col min="5" max="5" width="31.19921875" style="109" customWidth="1"/>
    <col min="6" max="6" width="23.8984375" style="109" customWidth="1"/>
    <col min="7" max="7" width="29.3984375" style="109" customWidth="1"/>
    <col min="8" max="8" width="23.3984375" style="109" customWidth="1"/>
    <col min="9" max="9" width="21.69921875" style="109" customWidth="1"/>
    <col min="10" max="10" width="14.8984375" style="109" customWidth="1"/>
    <col min="11" max="11" width="23.296875" style="109" customWidth="1"/>
  </cols>
  <sheetData>
    <row r="1" spans="1:12">
      <c r="A1" s="55" t="s">
        <v>505</v>
      </c>
      <c r="B1" s="55" t="s">
        <v>506</v>
      </c>
      <c r="C1" s="55" t="s">
        <v>507</v>
      </c>
      <c r="D1" s="55" t="s">
        <v>508</v>
      </c>
      <c r="E1" s="55" t="s">
        <v>509</v>
      </c>
      <c r="F1" s="55" t="s">
        <v>510</v>
      </c>
      <c r="G1" s="55" t="s">
        <v>511</v>
      </c>
      <c r="H1" s="55" t="s">
        <v>512</v>
      </c>
      <c r="I1" s="55" t="s">
        <v>513</v>
      </c>
      <c r="J1" s="55" t="s">
        <v>514</v>
      </c>
      <c r="K1" s="55" t="s">
        <v>515</v>
      </c>
      <c r="L1" s="82" t="s">
        <v>516</v>
      </c>
    </row>
    <row r="2" spans="1:12">
      <c r="A2" s="56" t="s">
        <v>517</v>
      </c>
      <c r="B2" s="57" t="s">
        <v>518</v>
      </c>
      <c r="C2" s="57" t="s">
        <v>519</v>
      </c>
      <c r="D2" s="57" t="s">
        <v>520</v>
      </c>
      <c r="E2" s="57" t="s">
        <v>521</v>
      </c>
      <c r="F2" s="57" t="s">
        <v>522</v>
      </c>
      <c r="G2" s="57" t="s">
        <v>523</v>
      </c>
      <c r="H2" s="57" t="s">
        <v>524</v>
      </c>
      <c r="I2" s="57" t="s">
        <v>525</v>
      </c>
      <c r="J2" s="56" t="s">
        <v>526</v>
      </c>
      <c r="K2" s="57" t="s">
        <v>527</v>
      </c>
      <c r="L2" t="s">
        <v>528</v>
      </c>
    </row>
    <row r="3" spans="1:12">
      <c r="A3" s="56" t="s">
        <v>529</v>
      </c>
      <c r="B3" s="57" t="s">
        <v>530</v>
      </c>
      <c r="C3" s="57" t="s">
        <v>531</v>
      </c>
      <c r="D3" s="57" t="s">
        <v>532</v>
      </c>
      <c r="E3" s="57" t="s">
        <v>533</v>
      </c>
      <c r="F3" s="57" t="s">
        <v>534</v>
      </c>
      <c r="G3" s="57" t="s">
        <v>535</v>
      </c>
      <c r="H3" s="57" t="s">
        <v>536</v>
      </c>
      <c r="I3" s="57" t="s">
        <v>537</v>
      </c>
      <c r="J3" s="57"/>
      <c r="K3" s="57"/>
    </row>
    <row r="4" spans="1:12">
      <c r="A4" s="56" t="s">
        <v>538</v>
      </c>
      <c r="B4" s="57" t="s">
        <v>539</v>
      </c>
      <c r="C4" s="57" t="s">
        <v>540</v>
      </c>
      <c r="D4" s="57" t="s">
        <v>541</v>
      </c>
      <c r="E4" s="57" t="s">
        <v>542</v>
      </c>
      <c r="F4" s="57"/>
      <c r="G4" s="57" t="s">
        <v>543</v>
      </c>
      <c r="H4" s="57" t="s">
        <v>544</v>
      </c>
      <c r="I4" s="57" t="s">
        <v>545</v>
      </c>
      <c r="J4" s="57"/>
      <c r="K4" s="57"/>
    </row>
    <row r="5" spans="1:12">
      <c r="A5" s="57"/>
      <c r="B5" s="57" t="s">
        <v>546</v>
      </c>
      <c r="C5" s="57" t="s">
        <v>547</v>
      </c>
      <c r="D5" s="57" t="s">
        <v>548</v>
      </c>
      <c r="E5" s="57" t="s">
        <v>549</v>
      </c>
      <c r="F5" s="57"/>
      <c r="G5" s="57" t="s">
        <v>550</v>
      </c>
      <c r="H5" s="57" t="s">
        <v>551</v>
      </c>
      <c r="I5" s="57" t="s">
        <v>552</v>
      </c>
      <c r="J5" s="57"/>
      <c r="K5" s="57"/>
    </row>
    <row r="6" spans="1:12">
      <c r="A6" s="57"/>
      <c r="B6" s="57" t="s">
        <v>553</v>
      </c>
      <c r="C6" s="57" t="s">
        <v>554</v>
      </c>
      <c r="D6" s="57"/>
      <c r="E6" s="57" t="s">
        <v>555</v>
      </c>
      <c r="F6" s="57"/>
      <c r="G6" s="57" t="s">
        <v>524</v>
      </c>
      <c r="H6" s="57" t="s">
        <v>556</v>
      </c>
      <c r="I6" s="56" t="s">
        <v>526</v>
      </c>
      <c r="J6" s="57"/>
      <c r="K6" s="57"/>
    </row>
    <row r="7" spans="1:12">
      <c r="A7" s="57"/>
      <c r="B7" s="57" t="s">
        <v>557</v>
      </c>
      <c r="C7" s="57" t="s">
        <v>558</v>
      </c>
      <c r="D7" s="57"/>
      <c r="E7" s="57"/>
      <c r="F7" s="57"/>
      <c r="G7" s="57" t="s">
        <v>536</v>
      </c>
      <c r="H7" s="57" t="s">
        <v>559</v>
      </c>
      <c r="I7" s="57" t="s">
        <v>527</v>
      </c>
      <c r="J7" s="57"/>
      <c r="K7" s="57"/>
    </row>
    <row r="8" spans="1:12">
      <c r="A8" s="57"/>
      <c r="B8" s="57"/>
      <c r="C8" s="57" t="s">
        <v>560</v>
      </c>
      <c r="D8" s="57"/>
      <c r="E8" s="57"/>
      <c r="F8" s="57"/>
      <c r="G8" s="57" t="s">
        <v>544</v>
      </c>
      <c r="H8" s="57"/>
      <c r="I8" t="s">
        <v>528</v>
      </c>
      <c r="J8" s="57"/>
      <c r="K8" s="57"/>
    </row>
    <row r="9" spans="1:12">
      <c r="A9" s="57"/>
      <c r="B9" s="57"/>
      <c r="C9" s="57" t="s">
        <v>561</v>
      </c>
      <c r="D9" s="57"/>
      <c r="E9" s="57"/>
      <c r="F9" s="57"/>
      <c r="G9" s="57" t="s">
        <v>551</v>
      </c>
      <c r="H9" s="57"/>
      <c r="I9" s="57"/>
      <c r="J9" s="57"/>
      <c r="K9" s="57"/>
    </row>
    <row r="10" spans="1:12">
      <c r="A10" s="57"/>
      <c r="B10" s="57"/>
      <c r="C10" s="57" t="s">
        <v>562</v>
      </c>
      <c r="D10" s="57"/>
      <c r="E10" s="57"/>
      <c r="F10" s="57"/>
      <c r="G10" s="57" t="s">
        <v>556</v>
      </c>
      <c r="H10" s="57"/>
      <c r="I10" s="57"/>
      <c r="J10" s="57"/>
      <c r="K10" s="57"/>
    </row>
    <row r="11" spans="1:12">
      <c r="A11" s="57"/>
      <c r="B11" s="57"/>
      <c r="C11" s="57" t="s">
        <v>563</v>
      </c>
      <c r="D11" s="57"/>
      <c r="E11" s="57"/>
      <c r="F11" s="57"/>
      <c r="G11" s="57" t="s">
        <v>559</v>
      </c>
      <c r="H11" s="57"/>
      <c r="I11" s="57"/>
      <c r="J11" s="57"/>
      <c r="K11" s="57"/>
    </row>
    <row r="12" spans="1:12">
      <c r="A12" s="57"/>
      <c r="B12" s="57"/>
      <c r="C12" s="57" t="s">
        <v>564</v>
      </c>
      <c r="D12" s="57"/>
      <c r="E12" s="57"/>
      <c r="F12" s="57"/>
      <c r="G12" s="57"/>
      <c r="H12" s="57"/>
      <c r="I12" s="57"/>
      <c r="J12" s="57"/>
      <c r="K12" s="57"/>
    </row>
    <row r="13" spans="1:12">
      <c r="A13" s="57"/>
      <c r="B13" s="57"/>
      <c r="C13" s="57" t="s">
        <v>565</v>
      </c>
      <c r="D13" s="57"/>
      <c r="E13" s="57"/>
      <c r="F13" s="57"/>
      <c r="G13" s="57"/>
      <c r="H13" s="57"/>
      <c r="I13" s="57"/>
      <c r="J13" s="57"/>
      <c r="K13" s="57"/>
    </row>
    <row r="14" spans="1:12">
      <c r="A14" s="57"/>
      <c r="B14" s="57"/>
      <c r="C14" s="57" t="s">
        <v>566</v>
      </c>
      <c r="D14" s="57"/>
      <c r="E14" s="57"/>
      <c r="F14" s="57"/>
      <c r="G14" s="57"/>
      <c r="H14" s="57"/>
      <c r="I14" s="57"/>
      <c r="J14" s="57"/>
      <c r="K14" s="57"/>
    </row>
    <row r="15" spans="1:12">
      <c r="A15" s="57"/>
      <c r="B15" s="57"/>
      <c r="C15" s="57" t="s">
        <v>567</v>
      </c>
      <c r="D15" s="57"/>
      <c r="E15" s="57"/>
      <c r="F15" s="57"/>
      <c r="G15" s="57"/>
      <c r="H15" s="57"/>
      <c r="I15" s="57"/>
      <c r="J15" s="57"/>
      <c r="K15" s="57"/>
    </row>
    <row r="16" spans="1:12">
      <c r="A16" s="57"/>
      <c r="B16" s="57"/>
      <c r="C16" s="57" t="s">
        <v>568</v>
      </c>
      <c r="D16" s="57"/>
      <c r="E16" s="57"/>
      <c r="F16" s="57"/>
      <c r="G16" s="57"/>
      <c r="H16" s="57"/>
      <c r="I16" s="57"/>
      <c r="J16" s="57"/>
      <c r="K16" s="57"/>
    </row>
    <row r="17" spans="1:11">
      <c r="A17" s="57"/>
      <c r="B17" s="57"/>
      <c r="C17" s="57" t="s">
        <v>569</v>
      </c>
      <c r="D17" s="57"/>
      <c r="E17" s="57"/>
      <c r="F17" s="57"/>
      <c r="G17" s="57"/>
      <c r="H17" s="57"/>
      <c r="I17" s="57"/>
      <c r="J17" s="57"/>
      <c r="K17" s="57"/>
    </row>
    <row r="20" spans="1:11">
      <c r="A20" t="s">
        <v>255</v>
      </c>
      <c r="B20" t="s">
        <v>3</v>
      </c>
      <c r="C20" t="s">
        <v>4</v>
      </c>
    </row>
    <row r="21" spans="1:11">
      <c r="A21" t="s">
        <v>260</v>
      </c>
      <c r="B21" t="s">
        <v>570</v>
      </c>
      <c r="C21" t="s">
        <v>571</v>
      </c>
    </row>
    <row r="22" spans="1:11">
      <c r="A22" t="s">
        <v>259</v>
      </c>
      <c r="B22" t="s">
        <v>572</v>
      </c>
      <c r="C22" t="s">
        <v>573</v>
      </c>
    </row>
    <row r="23" spans="1:11">
      <c r="A23" t="s">
        <v>258</v>
      </c>
    </row>
    <row r="24" spans="1:11">
      <c r="A24" t="s">
        <v>256</v>
      </c>
    </row>
    <row r="25" spans="1:11">
      <c r="A25" t="s">
        <v>262</v>
      </c>
    </row>
    <row r="26" spans="1:11">
      <c r="A26" t="s">
        <v>257</v>
      </c>
    </row>
    <row r="27" spans="1:11">
      <c r="A27" t="s">
        <v>261</v>
      </c>
    </row>
  </sheetData>
  <phoneticPr fontId="39" type="noConversion"/>
  <pageMargins left="0.7" right="0.7" top="0.75" bottom="0.75" header="0.511811023622047" footer="0.511811023622047"/>
  <pageSetup paperSize="9" orientation="portrait" horizontalDpi="300" verticalDpi="300"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37"/>
  <sheetViews>
    <sheetView view="pageBreakPreview" zoomScaleNormal="100" workbookViewId="0">
      <selection activeCell="A11" sqref="A11"/>
    </sheetView>
  </sheetViews>
  <sheetFormatPr defaultColWidth="8.69921875" defaultRowHeight="13.8"/>
  <cols>
    <col min="1" max="1" width="21.3984375" style="13" customWidth="1"/>
    <col min="2" max="2" width="20.3984375" style="73" customWidth="1"/>
    <col min="3" max="3" width="15.3984375" style="74" customWidth="1"/>
    <col min="4" max="4" width="30.3984375" style="74" customWidth="1"/>
    <col min="5" max="7" width="20.796875" style="74" customWidth="1"/>
    <col min="8" max="8" width="50.3984375" style="74" customWidth="1"/>
    <col min="9" max="10" width="8.69921875" style="74" customWidth="1"/>
    <col min="11" max="16384" width="8.69921875" style="74"/>
  </cols>
  <sheetData>
    <row r="1" spans="1:8" ht="19.5" customHeight="1">
      <c r="A1" s="371" t="s">
        <v>574</v>
      </c>
      <c r="B1" s="178"/>
      <c r="C1" s="178"/>
      <c r="D1" s="178"/>
      <c r="E1" s="178"/>
      <c r="F1" s="178"/>
      <c r="G1" s="178"/>
      <c r="H1" s="179"/>
    </row>
    <row r="2" spans="1:8" ht="19.5" customHeight="1">
      <c r="A2" s="204" t="s">
        <v>575</v>
      </c>
      <c r="B2" s="178"/>
      <c r="C2" s="178"/>
      <c r="D2" s="178"/>
      <c r="E2" s="178"/>
      <c r="F2" s="178"/>
      <c r="G2" s="178"/>
      <c r="H2" s="179"/>
    </row>
    <row r="3" spans="1:8" ht="19.5" customHeight="1">
      <c r="A3" s="75" t="s">
        <v>22</v>
      </c>
      <c r="B3" s="199" t="s">
        <v>23</v>
      </c>
      <c r="C3" s="178"/>
      <c r="D3" s="178"/>
      <c r="E3" s="178"/>
      <c r="F3" s="178"/>
      <c r="G3" s="178"/>
      <c r="H3" s="179"/>
    </row>
    <row r="4" spans="1:8" ht="19.5" customHeight="1">
      <c r="A4" s="86" t="s">
        <v>24</v>
      </c>
      <c r="B4" s="374" t="s">
        <v>576</v>
      </c>
      <c r="C4" s="178"/>
      <c r="D4" s="178"/>
      <c r="E4" s="178"/>
      <c r="F4" s="178"/>
      <c r="G4" s="178"/>
      <c r="H4" s="179"/>
    </row>
    <row r="5" spans="1:8" ht="19.5" customHeight="1">
      <c r="A5" s="86" t="s">
        <v>577</v>
      </c>
      <c r="B5" s="372" t="s">
        <v>578</v>
      </c>
      <c r="C5" s="178"/>
      <c r="D5" s="178"/>
      <c r="E5" s="178"/>
      <c r="F5" s="178"/>
      <c r="G5" s="178"/>
      <c r="H5" s="179"/>
    </row>
    <row r="6" spans="1:8" ht="19.5" customHeight="1">
      <c r="A6" s="232" t="s">
        <v>579</v>
      </c>
      <c r="B6" s="232" t="s">
        <v>33</v>
      </c>
      <c r="C6" s="77" t="s">
        <v>34</v>
      </c>
      <c r="D6" s="373"/>
      <c r="E6" s="179"/>
      <c r="F6" s="232" t="s">
        <v>36</v>
      </c>
      <c r="G6" s="61" t="s">
        <v>37</v>
      </c>
      <c r="H6" s="159"/>
    </row>
    <row r="7" spans="1:8" ht="19.5" customHeight="1">
      <c r="A7" s="194"/>
      <c r="B7" s="194"/>
      <c r="C7" s="77" t="s">
        <v>35</v>
      </c>
      <c r="D7" s="373"/>
      <c r="E7" s="179"/>
      <c r="F7" s="194"/>
      <c r="G7" s="61" t="s">
        <v>38</v>
      </c>
      <c r="H7" s="159"/>
    </row>
    <row r="8" spans="1:8" s="71" customFormat="1" ht="22.5" customHeight="1">
      <c r="A8" s="204" t="s">
        <v>580</v>
      </c>
      <c r="B8" s="178"/>
      <c r="C8" s="178"/>
      <c r="D8" s="178"/>
      <c r="E8" s="178"/>
      <c r="F8" s="178"/>
      <c r="G8" s="178"/>
      <c r="H8" s="179"/>
    </row>
    <row r="9" spans="1:8" s="71" customFormat="1" ht="32.25" customHeight="1">
      <c r="A9" s="215" t="s">
        <v>117</v>
      </c>
      <c r="B9" s="179"/>
      <c r="C9" s="215" t="s">
        <v>118</v>
      </c>
      <c r="D9" s="179"/>
      <c r="E9" s="79" t="s">
        <v>122</v>
      </c>
      <c r="F9" s="79" t="s">
        <v>581</v>
      </c>
      <c r="G9" s="79" t="s">
        <v>582</v>
      </c>
      <c r="H9" s="79" t="s">
        <v>583</v>
      </c>
    </row>
    <row r="10" spans="1:8" s="71" customFormat="1" ht="19.5" customHeight="1">
      <c r="A10" s="375" t="s">
        <v>584</v>
      </c>
      <c r="B10" s="178"/>
      <c r="C10" s="178"/>
      <c r="D10" s="178"/>
      <c r="E10" s="178"/>
      <c r="F10" s="178"/>
      <c r="G10" s="178"/>
      <c r="H10" s="179"/>
    </row>
    <row r="11" spans="1:8" s="71" customFormat="1" ht="19.5" customHeight="1">
      <c r="A11" s="239" t="s">
        <v>125</v>
      </c>
      <c r="B11" s="178"/>
      <c r="C11" s="178"/>
      <c r="D11" s="178"/>
      <c r="E11" s="178"/>
      <c r="F11" s="178"/>
      <c r="G11" s="179"/>
      <c r="H11" s="369"/>
    </row>
    <row r="12" spans="1:8" s="71" customFormat="1" ht="19.5" customHeight="1">
      <c r="A12" s="370"/>
      <c r="B12" s="179"/>
      <c r="C12" s="370"/>
      <c r="D12" s="179"/>
      <c r="E12" s="84"/>
      <c r="F12" s="84"/>
      <c r="G12" s="58" t="str">
        <f>IFERROR((F12-E12)/E12,"-")</f>
        <v>-</v>
      </c>
      <c r="H12" s="190"/>
    </row>
    <row r="13" spans="1:8" s="71" customFormat="1" ht="19.5" customHeight="1">
      <c r="A13" s="239" t="s">
        <v>131</v>
      </c>
      <c r="B13" s="178"/>
      <c r="C13" s="178"/>
      <c r="D13" s="178"/>
      <c r="E13" s="178"/>
      <c r="F13" s="178"/>
      <c r="G13" s="179"/>
      <c r="H13" s="190"/>
    </row>
    <row r="14" spans="1:8" s="71" customFormat="1" ht="19.5" customHeight="1">
      <c r="A14" s="370"/>
      <c r="B14" s="179"/>
      <c r="C14" s="370"/>
      <c r="D14" s="179"/>
      <c r="E14" s="84"/>
      <c r="F14" s="84"/>
      <c r="G14" s="58" t="str">
        <f>IFERROR((F14-E14)/E14,"-")</f>
        <v>-</v>
      </c>
      <c r="H14" s="190"/>
    </row>
    <row r="15" spans="1:8" s="71" customFormat="1" ht="19.5" customHeight="1">
      <c r="A15" s="370"/>
      <c r="B15" s="179"/>
      <c r="C15" s="370"/>
      <c r="D15" s="179"/>
      <c r="E15" s="84"/>
      <c r="F15" s="84"/>
      <c r="G15" s="58" t="str">
        <f>IFERROR((F15-E15)/E15,"-")</f>
        <v>-</v>
      </c>
      <c r="H15" s="190"/>
    </row>
    <row r="16" spans="1:8" s="71" customFormat="1" ht="19.5" customHeight="1">
      <c r="A16" s="370"/>
      <c r="B16" s="179"/>
      <c r="C16" s="370"/>
      <c r="D16" s="179"/>
      <c r="E16" s="84"/>
      <c r="F16" s="84"/>
      <c r="G16" s="58" t="str">
        <f>IFERROR((F16-E16)/E16,"-")</f>
        <v>-</v>
      </c>
      <c r="H16" s="194"/>
    </row>
    <row r="17" spans="1:8" s="71" customFormat="1" ht="19.5" customHeight="1">
      <c r="A17" s="375" t="s">
        <v>584</v>
      </c>
      <c r="B17" s="178"/>
      <c r="C17" s="178"/>
      <c r="D17" s="178"/>
      <c r="E17" s="178"/>
      <c r="F17" s="178"/>
      <c r="G17" s="178"/>
      <c r="H17" s="179"/>
    </row>
    <row r="18" spans="1:8" s="71" customFormat="1" ht="19.5" customHeight="1">
      <c r="A18" s="239" t="s">
        <v>125</v>
      </c>
      <c r="B18" s="178"/>
      <c r="C18" s="178"/>
      <c r="D18" s="178"/>
      <c r="E18" s="178"/>
      <c r="F18" s="178"/>
      <c r="G18" s="179"/>
      <c r="H18" s="369"/>
    </row>
    <row r="19" spans="1:8" s="71" customFormat="1" ht="19.5" customHeight="1">
      <c r="A19" s="224"/>
      <c r="B19" s="179"/>
      <c r="C19" s="224"/>
      <c r="D19" s="179"/>
      <c r="E19" s="84"/>
      <c r="F19" s="84"/>
      <c r="G19" s="58" t="str">
        <f>IFERROR((F19-E19)/E19,"-")</f>
        <v>-</v>
      </c>
      <c r="H19" s="190"/>
    </row>
    <row r="20" spans="1:8" s="71" customFormat="1" ht="19.5" customHeight="1">
      <c r="A20" s="239" t="s">
        <v>131</v>
      </c>
      <c r="B20" s="178"/>
      <c r="C20" s="178"/>
      <c r="D20" s="178"/>
      <c r="E20" s="178"/>
      <c r="F20" s="178"/>
      <c r="G20" s="179"/>
      <c r="H20" s="190"/>
    </row>
    <row r="21" spans="1:8" s="71" customFormat="1" ht="19.5" customHeight="1">
      <c r="A21" s="224"/>
      <c r="B21" s="179"/>
      <c r="C21" s="224"/>
      <c r="D21" s="179"/>
      <c r="E21" s="84"/>
      <c r="F21" s="84"/>
      <c r="G21" s="58" t="str">
        <f>IFERROR((F21-E21)/E21,"-")</f>
        <v>-</v>
      </c>
      <c r="H21" s="190"/>
    </row>
    <row r="22" spans="1:8" s="71" customFormat="1" ht="19.5" customHeight="1">
      <c r="A22" s="224"/>
      <c r="B22" s="179"/>
      <c r="C22" s="224"/>
      <c r="D22" s="179"/>
      <c r="E22" s="84"/>
      <c r="F22" s="84"/>
      <c r="G22" s="58" t="str">
        <f>IFERROR((F22-E22)/E22,"-")</f>
        <v>-</v>
      </c>
      <c r="H22" s="190"/>
    </row>
    <row r="23" spans="1:8" s="71" customFormat="1" ht="19.5" customHeight="1">
      <c r="A23" s="224"/>
      <c r="B23" s="179"/>
      <c r="C23" s="224"/>
      <c r="D23" s="179"/>
      <c r="E23" s="84"/>
      <c r="F23" s="84"/>
      <c r="G23" s="58" t="str">
        <f>IFERROR((F23-E23)/E23,"-")</f>
        <v>-</v>
      </c>
      <c r="H23" s="194"/>
    </row>
    <row r="24" spans="1:8" s="71" customFormat="1" ht="19.5" customHeight="1">
      <c r="A24" s="375" t="s">
        <v>584</v>
      </c>
      <c r="B24" s="178"/>
      <c r="C24" s="178"/>
      <c r="D24" s="178"/>
      <c r="E24" s="178"/>
      <c r="F24" s="178"/>
      <c r="G24" s="178"/>
      <c r="H24" s="179"/>
    </row>
    <row r="25" spans="1:8" s="71" customFormat="1" ht="19.5" customHeight="1">
      <c r="A25" s="239" t="s">
        <v>125</v>
      </c>
      <c r="B25" s="178"/>
      <c r="C25" s="178"/>
      <c r="D25" s="178"/>
      <c r="E25" s="178"/>
      <c r="F25" s="178"/>
      <c r="G25" s="179"/>
      <c r="H25" s="369"/>
    </row>
    <row r="26" spans="1:8" s="71" customFormat="1" ht="19.5" customHeight="1">
      <c r="A26" s="202"/>
      <c r="B26" s="179"/>
      <c r="C26" s="202"/>
      <c r="D26" s="179"/>
      <c r="E26" s="84"/>
      <c r="F26" s="84"/>
      <c r="G26" s="58" t="str">
        <f>IFERROR((F26-E26)/E26,"-")</f>
        <v>-</v>
      </c>
      <c r="H26" s="190"/>
    </row>
    <row r="27" spans="1:8" s="71" customFormat="1" ht="19.5" customHeight="1">
      <c r="A27" s="239" t="s">
        <v>131</v>
      </c>
      <c r="B27" s="178"/>
      <c r="C27" s="178"/>
      <c r="D27" s="178"/>
      <c r="E27" s="178"/>
      <c r="F27" s="178"/>
      <c r="G27" s="179"/>
      <c r="H27" s="190"/>
    </row>
    <row r="28" spans="1:8" s="71" customFormat="1" ht="19.5" customHeight="1">
      <c r="A28" s="202"/>
      <c r="B28" s="179"/>
      <c r="C28" s="202"/>
      <c r="D28" s="179"/>
      <c r="E28" s="84"/>
      <c r="F28" s="84"/>
      <c r="G28" s="58" t="str">
        <f>IFERROR((F28-E28)/E28,"-")</f>
        <v>-</v>
      </c>
      <c r="H28" s="190"/>
    </row>
    <row r="29" spans="1:8" s="71" customFormat="1" ht="19.5" customHeight="1">
      <c r="A29" s="202"/>
      <c r="B29" s="179"/>
      <c r="C29" s="202"/>
      <c r="D29" s="179"/>
      <c r="E29" s="84"/>
      <c r="F29" s="84"/>
      <c r="G29" s="58" t="str">
        <f>IFERROR((F29-E29)/E29,"-")</f>
        <v>-</v>
      </c>
      <c r="H29" s="190"/>
    </row>
    <row r="30" spans="1:8" s="71" customFormat="1" ht="19.5" customHeight="1">
      <c r="A30" s="202"/>
      <c r="B30" s="179"/>
      <c r="C30" s="202"/>
      <c r="D30" s="179"/>
      <c r="E30" s="84"/>
      <c r="F30" s="84"/>
      <c r="G30" s="58" t="str">
        <f>IFERROR((F30-E30)/E30,"-")</f>
        <v>-</v>
      </c>
      <c r="H30" s="194"/>
    </row>
    <row r="31" spans="1:8" s="71" customFormat="1" ht="19.5" customHeight="1">
      <c r="A31" s="375" t="s">
        <v>584</v>
      </c>
      <c r="B31" s="178"/>
      <c r="C31" s="178"/>
      <c r="D31" s="178"/>
      <c r="E31" s="178"/>
      <c r="F31" s="178"/>
      <c r="G31" s="178"/>
      <c r="H31" s="179"/>
    </row>
    <row r="32" spans="1:8" s="71" customFormat="1" ht="19.5" customHeight="1">
      <c r="A32" s="239" t="s">
        <v>125</v>
      </c>
      <c r="B32" s="178"/>
      <c r="C32" s="178"/>
      <c r="D32" s="178"/>
      <c r="E32" s="178"/>
      <c r="F32" s="178"/>
      <c r="G32" s="179"/>
      <c r="H32" s="369"/>
    </row>
    <row r="33" spans="1:8" s="71" customFormat="1" ht="19.5" customHeight="1">
      <c r="A33" s="202"/>
      <c r="B33" s="179"/>
      <c r="C33" s="202"/>
      <c r="D33" s="179"/>
      <c r="E33" s="84"/>
      <c r="F33" s="84"/>
      <c r="G33" s="58" t="str">
        <f>IFERROR((F33-E33)/E33,"-")</f>
        <v>-</v>
      </c>
      <c r="H33" s="190"/>
    </row>
    <row r="34" spans="1:8" s="71" customFormat="1" ht="19.5" customHeight="1">
      <c r="A34" s="239" t="s">
        <v>131</v>
      </c>
      <c r="B34" s="178"/>
      <c r="C34" s="178"/>
      <c r="D34" s="178"/>
      <c r="E34" s="178"/>
      <c r="F34" s="178"/>
      <c r="G34" s="179"/>
      <c r="H34" s="190"/>
    </row>
    <row r="35" spans="1:8" s="71" customFormat="1" ht="19.5" customHeight="1">
      <c r="A35" s="202"/>
      <c r="B35" s="179"/>
      <c r="C35" s="202"/>
      <c r="D35" s="179"/>
      <c r="E35" s="84"/>
      <c r="F35" s="84"/>
      <c r="G35" s="58" t="str">
        <f>IFERROR((F35-E35)/E35,"-")</f>
        <v>-</v>
      </c>
      <c r="H35" s="190"/>
    </row>
    <row r="36" spans="1:8" s="71" customFormat="1" ht="19.5" customHeight="1">
      <c r="A36" s="202"/>
      <c r="B36" s="179"/>
      <c r="C36" s="202"/>
      <c r="D36" s="179"/>
      <c r="E36" s="84"/>
      <c r="F36" s="84"/>
      <c r="G36" s="58" t="str">
        <f>IFERROR((F36-E36)/E36,"-")</f>
        <v>-</v>
      </c>
      <c r="H36" s="190"/>
    </row>
    <row r="37" spans="1:8" s="71" customFormat="1" ht="19.5" customHeight="1">
      <c r="A37" s="202"/>
      <c r="B37" s="179"/>
      <c r="C37" s="202"/>
      <c r="D37" s="179"/>
      <c r="E37" s="84"/>
      <c r="F37" s="84"/>
      <c r="G37" s="58" t="str">
        <f>IFERROR((F37-E37)/E37,"-")</f>
        <v>-</v>
      </c>
      <c r="H37" s="194"/>
    </row>
  </sheetData>
  <mergeCells count="61">
    <mergeCell ref="A35:B35"/>
    <mergeCell ref="A29:B29"/>
    <mergeCell ref="A18:G18"/>
    <mergeCell ref="A27:G27"/>
    <mergeCell ref="H18:H23"/>
    <mergeCell ref="A19:B19"/>
    <mergeCell ref="C19:D19"/>
    <mergeCell ref="A37:B37"/>
    <mergeCell ref="C22:D22"/>
    <mergeCell ref="H11:H16"/>
    <mergeCell ref="C9:D9"/>
    <mergeCell ref="A21:B21"/>
    <mergeCell ref="A26:B26"/>
    <mergeCell ref="C21:D21"/>
    <mergeCell ref="A33:B33"/>
    <mergeCell ref="C36:D36"/>
    <mergeCell ref="A14:B14"/>
    <mergeCell ref="C33:D33"/>
    <mergeCell ref="A24:H24"/>
    <mergeCell ref="A20:G20"/>
    <mergeCell ref="C14:D14"/>
    <mergeCell ref="A36:B36"/>
    <mergeCell ref="C37:D37"/>
    <mergeCell ref="B3:H3"/>
    <mergeCell ref="B6:B7"/>
    <mergeCell ref="A11:G11"/>
    <mergeCell ref="A12:B12"/>
    <mergeCell ref="C12:D12"/>
    <mergeCell ref="D7:E7"/>
    <mergeCell ref="F6:F7"/>
    <mergeCell ref="A10:H10"/>
    <mergeCell ref="A9:B9"/>
    <mergeCell ref="A8:H8"/>
    <mergeCell ref="A1:H1"/>
    <mergeCell ref="A6:A7"/>
    <mergeCell ref="C26:D26"/>
    <mergeCell ref="B5:H5"/>
    <mergeCell ref="C35:D35"/>
    <mergeCell ref="D6:E6"/>
    <mergeCell ref="A13:G13"/>
    <mergeCell ref="A16:B16"/>
    <mergeCell ref="C29:D29"/>
    <mergeCell ref="C16:D16"/>
    <mergeCell ref="B4:H4"/>
    <mergeCell ref="A34:G34"/>
    <mergeCell ref="A2:H2"/>
    <mergeCell ref="A23:B23"/>
    <mergeCell ref="A25:G25"/>
    <mergeCell ref="H32:H37"/>
    <mergeCell ref="H25:H30"/>
    <mergeCell ref="C23:D23"/>
    <mergeCell ref="A32:G32"/>
    <mergeCell ref="A30:B30"/>
    <mergeCell ref="A15:B15"/>
    <mergeCell ref="C30:D30"/>
    <mergeCell ref="C15:D15"/>
    <mergeCell ref="A28:B28"/>
    <mergeCell ref="C28:D28"/>
    <mergeCell ref="A31:H31"/>
    <mergeCell ref="A22:B22"/>
    <mergeCell ref="A17:H17"/>
  </mergeCells>
  <phoneticPr fontId="39" type="noConversion"/>
  <dataValidations count="1">
    <dataValidation type="list" allowBlank="1" showInputMessage="1" showErrorMessage="1" sqref="A10:H10 A17:H17 A24:H24 A31:H31" xr:uid="{00000000-0002-0000-0D00-000000000000}">
      <formula1>"Please Select Project Sector,Education,Health &amp; Well-being,Economic Empowerment,Child Protection,Climate Change,Humanitarian Assistance,Community Engagement,Gender"</formula1>
      <formula2>0</formula2>
    </dataValidation>
  </dataValidations>
  <pageMargins left="0.7" right="0.7" top="0.75" bottom="0.75" header="0.511811023622047" footer="0.511811023622047"/>
  <pageSetup paperSize="9" scale="46"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109</vt:i4>
      </vt:variant>
    </vt:vector>
  </HeadingPairs>
  <TitlesOfParts>
    <vt:vector size="123" baseType="lpstr">
      <vt:lpstr>Cover</vt:lpstr>
      <vt:lpstr>1. Project Overview</vt:lpstr>
      <vt:lpstr>2. Community Assessment Result</vt:lpstr>
      <vt:lpstr>3. Sector_Child Protection</vt:lpstr>
      <vt:lpstr>3. Sector_Education</vt:lpstr>
      <vt:lpstr>3. Sector_Health &amp; Well-being</vt:lpstr>
      <vt:lpstr>3. Sector_Economic Empowerment</vt:lpstr>
      <vt:lpstr>3. Sector_Others</vt:lpstr>
      <vt:lpstr>4. Child Sponsorship Management</vt:lpstr>
      <vt:lpstr>5. Project Management Plan</vt:lpstr>
      <vt:lpstr>(Annex) Indicator Tracking Tool</vt:lpstr>
      <vt:lpstr>indicators</vt:lpstr>
      <vt:lpstr>Sheet1</vt:lpstr>
      <vt:lpstr>Annex. CDP Evaluation Report</vt:lpstr>
      <vt:lpstr>Advocacy</vt:lpstr>
      <vt:lpstr>all_outcome_indicator</vt:lpstr>
      <vt:lpstr>all_output_indicator</vt:lpstr>
      <vt:lpstr>Child_Protection_Activity</vt:lpstr>
      <vt:lpstr>Child_Protection_Output</vt:lpstr>
      <vt:lpstr>Child_Sponsorship</vt:lpstr>
      <vt:lpstr>climate_outcome_indicator</vt:lpstr>
      <vt:lpstr>climate_output_indicator</vt:lpstr>
      <vt:lpstr>community_output_indicator</vt:lpstr>
      <vt:lpstr>Core_Alliance</vt:lpstr>
      <vt:lpstr>Design_Type</vt:lpstr>
      <vt:lpstr>Economic_Empowerment_Activity</vt:lpstr>
      <vt:lpstr>Economic_Empowerment_Output</vt:lpstr>
      <vt:lpstr>economy_outcome_indicator</vt:lpstr>
      <vt:lpstr>economy_output_indicator</vt:lpstr>
      <vt:lpstr>Education</vt:lpstr>
      <vt:lpstr>Education_Activity</vt:lpstr>
      <vt:lpstr>education_outcome_indicator</vt:lpstr>
      <vt:lpstr>Education_Output</vt:lpstr>
      <vt:lpstr>education_output_indicator</vt:lpstr>
      <vt:lpstr>Environment</vt:lpstr>
      <vt:lpstr>Health_Avtivity</vt:lpstr>
      <vt:lpstr>health_outcome_indicator</vt:lpstr>
      <vt:lpstr>health_output_indicator</vt:lpstr>
      <vt:lpstr>'3. Sector_Health &amp; Well-being'!Health_WellBeing</vt:lpstr>
      <vt:lpstr>Health_WellBeing_Activity</vt:lpstr>
      <vt:lpstr>'3. Sector_Health &amp; Well-being'!Health_WellBeing_Output</vt:lpstr>
      <vt:lpstr>Humanitarian_Assistance</vt:lpstr>
      <vt:lpstr>humanitarian_outcome_indicator</vt:lpstr>
      <vt:lpstr>humanitarian_output_indicator</vt:lpstr>
      <vt:lpstr>Income_Generation</vt:lpstr>
      <vt:lpstr>ITT_ChildProtection_OC_A</vt:lpstr>
      <vt:lpstr>ITT_ChildProtection_OC_B</vt:lpstr>
      <vt:lpstr>ITT_ChildProtection_OC_E</vt:lpstr>
      <vt:lpstr>ITT_ChildProtection_OC_G</vt:lpstr>
      <vt:lpstr>ITT_ChildProtection_OC_J</vt:lpstr>
      <vt:lpstr>ITT_ChildProtection_OC_K</vt:lpstr>
      <vt:lpstr>ITT_ChildProtection_OP_A</vt:lpstr>
      <vt:lpstr>ITT_ChildProtection_OP_B</vt:lpstr>
      <vt:lpstr>ITT_ChildProtection_OP_E</vt:lpstr>
      <vt:lpstr>ITT_ChildProtection_OP_G</vt:lpstr>
      <vt:lpstr>ITT_ChildProtection_OP_J</vt:lpstr>
      <vt:lpstr>ITT_ChildProtection_OP_K</vt:lpstr>
      <vt:lpstr>ITT_EconomicEmpowerment_OC_A</vt:lpstr>
      <vt:lpstr>ITT_EconomicEmpowerment_OC_B</vt:lpstr>
      <vt:lpstr>ITT_EconomicEmpowerment_OC_E</vt:lpstr>
      <vt:lpstr>ITT_EconomicEmpowerment_OC_G</vt:lpstr>
      <vt:lpstr>ITT_EconomicEmpowerment_OC_J</vt:lpstr>
      <vt:lpstr>ITT_EconomicEmpowerment_OC_K</vt:lpstr>
      <vt:lpstr>ITT_EconomicEmpowerment_OP_A</vt:lpstr>
      <vt:lpstr>ITT_EconomicEmpowerment_OP_B</vt:lpstr>
      <vt:lpstr>ITT_EconomicEmpowerment_OP_E</vt:lpstr>
      <vt:lpstr>ITT_EconomicEmpowerment_OP_G</vt:lpstr>
      <vt:lpstr>ITT_EconomicEmpowerment_OP_J</vt:lpstr>
      <vt:lpstr>ITT_EconomicEmpowerment_OP_K</vt:lpstr>
      <vt:lpstr>ITT_Education_OC_A</vt:lpstr>
      <vt:lpstr>ITT_Education_OC_B</vt:lpstr>
      <vt:lpstr>ITT_Education_OC_E</vt:lpstr>
      <vt:lpstr>ITT_Education_OC_G</vt:lpstr>
      <vt:lpstr>ITT_Education_OC_J</vt:lpstr>
      <vt:lpstr>ITT_Education_OC_K</vt:lpstr>
      <vt:lpstr>ITT_Education_OP_A</vt:lpstr>
      <vt:lpstr>ITT_Education_OP_B</vt:lpstr>
      <vt:lpstr>ITT_Education_OP_E</vt:lpstr>
      <vt:lpstr>ITT_Education_OP_G</vt:lpstr>
      <vt:lpstr>ITT_Education_OP_J</vt:lpstr>
      <vt:lpstr>ITT_Education_OP_K</vt:lpstr>
      <vt:lpstr>ITT_HealthWellbeing_OC_A</vt:lpstr>
      <vt:lpstr>ITT_HealthWellbeing_OC_B</vt:lpstr>
      <vt:lpstr>ITT_HealthWellbeing_OC_E</vt:lpstr>
      <vt:lpstr>ITT_HealthWellbeing_OC_G</vt:lpstr>
      <vt:lpstr>ITT_HealthWellbeing_OC_J</vt:lpstr>
      <vt:lpstr>ITT_HealthWellbeing_OC_K</vt:lpstr>
      <vt:lpstr>ITT_HealthWellbeing_OP_A</vt:lpstr>
      <vt:lpstr>ITT_HealthWellbeing_OP_B</vt:lpstr>
      <vt:lpstr>ITT_HealthWellbeing_OP_E</vt:lpstr>
      <vt:lpstr>ITT_HealthWellbeing_OP_G</vt:lpstr>
      <vt:lpstr>ITT_HealthWellbeing_OP_J</vt:lpstr>
      <vt:lpstr>ITT_HealthWellbeing_OP_K</vt:lpstr>
      <vt:lpstr>ITT_Others_OC_A</vt:lpstr>
      <vt:lpstr>ITT_Others_OC_B</vt:lpstr>
      <vt:lpstr>ITT_Others_OC_E</vt:lpstr>
      <vt:lpstr>ITT_Others_OC_G</vt:lpstr>
      <vt:lpstr>ITT_Others_OC_J</vt:lpstr>
      <vt:lpstr>ITT_Others_OC_K</vt:lpstr>
      <vt:lpstr>ITT_Others_OP_A</vt:lpstr>
      <vt:lpstr>ITT_Others_OP_B</vt:lpstr>
      <vt:lpstr>ITT_Others_OP_E</vt:lpstr>
      <vt:lpstr>ITT_Others_OP_G</vt:lpstr>
      <vt:lpstr>ITT_Others_OP_J</vt:lpstr>
      <vt:lpstr>ITT_Others_OP_K</vt:lpstr>
      <vt:lpstr>Management</vt:lpstr>
      <vt:lpstr>Others</vt:lpstr>
      <vt:lpstr>Others_Activity</vt:lpstr>
      <vt:lpstr>'3. Sector_Others'!Others_Output</vt:lpstr>
      <vt:lpstr>Partnership</vt:lpstr>
      <vt:lpstr>'(Annex) Indicator Tracking Tool'!Print_Area</vt:lpstr>
      <vt:lpstr>'1. Project Overview'!Print_Area</vt:lpstr>
      <vt:lpstr>'2. Community Assessment Result'!Print_Area</vt:lpstr>
      <vt:lpstr>'3. Sector_Child Protection'!Print_Area</vt:lpstr>
      <vt:lpstr>'3. Sector_Economic Empowerment'!Print_Area</vt:lpstr>
      <vt:lpstr>'3. Sector_Education'!Print_Area</vt:lpstr>
      <vt:lpstr>'3. Sector_Health &amp; Well-being'!Print_Area</vt:lpstr>
      <vt:lpstr>'3. Sector_Others'!Print_Area</vt:lpstr>
      <vt:lpstr>'Annex. CDP Evaluation Report'!Print_Area</vt:lpstr>
      <vt:lpstr>Cover!Print_Area</vt:lpstr>
      <vt:lpstr>Project_Type</vt:lpstr>
      <vt:lpstr>protection_outcome_indicator</vt:lpstr>
      <vt:lpstr>protection_output_indicator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GCDC DME team</dc:creator>
  <cp:lastModifiedBy>Sophie Seulki Park</cp:lastModifiedBy>
  <cp:revision>0</cp:revision>
  <cp:lastPrinted>2026-05-06T05:51:45Z</cp:lastPrinted>
  <dcterms:created xsi:type="dcterms:W3CDTF">2023-02-28T04:11:42Z</dcterms:created>
  <dcterms:modified xsi:type="dcterms:W3CDTF">2026-09-08T02:37:46Z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0x010100902E5F3B278CFB41A3C52A5ED1BA0A2E</vt:lpwstr>
  </property>
  <property fmtid="{D5CDD505-2E9C-101B-9397-08002B2CF9AE}" pid="3" name="MSIP_Label_9eb91dd4-c87c-49ee-8610-bf2f68beaad3_ActionId">
    <vt:lpwstr>c0dccb89-afbb-4895-8b4a-c3ea620ec767</vt:lpwstr>
  </property>
  <property fmtid="{D5CDD505-2E9C-101B-9397-08002B2CF9AE}" pid="4" name="MSIP_Label_9eb91dd4-c87c-49ee-8610-bf2f68beaad3_ContentBits">
    <vt:lpwstr>0</vt:lpwstr>
  </property>
  <property fmtid="{D5CDD505-2E9C-101B-9397-08002B2CF9AE}" pid="5" name="MSIP_Label_9eb91dd4-c87c-49ee-8610-bf2f68beaad3_Enabled">
    <vt:lpwstr>true</vt:lpwstr>
  </property>
  <property fmtid="{D5CDD505-2E9C-101B-9397-08002B2CF9AE}" pid="6" name="MSIP_Label_9eb91dd4-c87c-49ee-8610-bf2f68beaad3_Method">
    <vt:lpwstr>Standard</vt:lpwstr>
  </property>
  <property fmtid="{D5CDD505-2E9C-101B-9397-08002B2CF9AE}" pid="7" name="MSIP_Label_9eb91dd4-c87c-49ee-8610-bf2f68beaad3_Name">
    <vt:lpwstr>General</vt:lpwstr>
  </property>
  <property fmtid="{D5CDD505-2E9C-101B-9397-08002B2CF9AE}" pid="8" name="MSIP_Label_9eb91dd4-c87c-49ee-8610-bf2f68beaad3_SetDate">
    <vt:lpwstr>2023-03-22T08:23:46Z</vt:lpwstr>
  </property>
  <property fmtid="{D5CDD505-2E9C-101B-9397-08002B2CF9AE}" pid="9" name="MSIP_Label_9eb91dd4-c87c-49ee-8610-bf2f68beaad3_SiteId">
    <vt:lpwstr>5946a082-d0e2-45b9-853a-a130d34d01c6</vt:lpwstr>
  </property>
  <property fmtid="{D5CDD505-2E9C-101B-9397-08002B2CF9AE}" pid="10" name="MediaServiceImageTags">
    <vt:lpwstr/>
  </property>
</Properties>
</file>